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 Details" sheetId="1" r:id="rId5"/>
    <sheet state="visible" name="Past_Standings" sheetId="2" r:id="rId6"/>
    <sheet state="visible" name="Payout_Formula" sheetId="3" r:id="rId7"/>
    <sheet state="visible" name="2025_Payout" sheetId="4" r:id="rId8"/>
    <sheet state="visible" name="2024_Payout" sheetId="5" r:id="rId9"/>
    <sheet state="visible" name="2023_Payout" sheetId="6" r:id="rId10"/>
    <sheet state="visible" name="2022_Payout" sheetId="7" r:id="rId11"/>
    <sheet state="visible" name="2021_Payout" sheetId="8" r:id="rId12"/>
    <sheet state="visible" name="2020_Payouts" sheetId="9" r:id="rId13"/>
    <sheet state="visible" name="2019_Payouts" sheetId="10" r:id="rId14"/>
    <sheet state="visible" name="2018_Payouts" sheetId="11" r:id="rId15"/>
    <sheet state="visible" name="2017_Payouts" sheetId="12" r:id="rId16"/>
    <sheet state="visible" name="2016_Payouts" sheetId="13" r:id="rId17"/>
    <sheet state="visible" name="2015_Payouts" sheetId="14" r:id="rId18"/>
    <sheet state="visible" name="2014_Payouts" sheetId="15" r:id="rId19"/>
    <sheet state="visible" name="2025_Final_Standings" sheetId="16" r:id="rId20"/>
    <sheet state="visible" name="2024_Final_Standings" sheetId="17" r:id="rId21"/>
    <sheet state="visible" name="2023_Final_Standings" sheetId="18" r:id="rId22"/>
    <sheet state="visible" name="2022_Final_Standings" sheetId="19" r:id="rId23"/>
    <sheet state="visible" name="2021_Final_Standings" sheetId="20" r:id="rId24"/>
    <sheet state="visible" name="2020_Final_Standings" sheetId="21" r:id="rId25"/>
    <sheet state="visible" name="2019_Final_Standings" sheetId="22" r:id="rId26"/>
    <sheet state="visible" name="2018_Final_Standings" sheetId="23" r:id="rId27"/>
    <sheet state="visible" name="2017_Final_Standings" sheetId="24" r:id="rId28"/>
    <sheet state="visible" name="2016_Final_Standings" sheetId="25" r:id="rId29"/>
    <sheet state="visible" name="2015_Final_Standings" sheetId="26" r:id="rId30"/>
    <sheet state="visible" name="2014_Final_Standings" sheetId="27" r:id="rId31"/>
    <sheet state="visible" name="2013_Final_Standings" sheetId="28" r:id="rId32"/>
    <sheet state="visible" name="2017_Rules_Vote" sheetId="29" r:id="rId33"/>
    <sheet state="visible" name="2016_Entry_Fee_Vote" sheetId="30" r:id="rId34"/>
    <sheet state="visible" name="2014_Rules_Vote" sheetId="31" r:id="rId35"/>
    <sheet state="visible" name="2012_Rules_Votes" sheetId="32" r:id="rId36"/>
    <sheet state="visible" name="Previous_Champs" sheetId="33" r:id="rId37"/>
    <sheet state="visible" name="2021_Keepers" sheetId="34" r:id="rId38"/>
    <sheet state="visible" name="2020_Keepers" sheetId="35" r:id="rId39"/>
    <sheet state="visible" name="2019_Keepers" sheetId="36" r:id="rId40"/>
    <sheet state="visible" name="2018_Keepers" sheetId="37" r:id="rId41"/>
    <sheet state="visible" name="2017_Keepers" sheetId="38" r:id="rId42"/>
    <sheet state="visible" name="2016_Keepers" sheetId="39" r:id="rId43"/>
    <sheet state="visible" name="2015_Keepers" sheetId="40" r:id="rId44"/>
    <sheet state="visible" name="2014_Keepers" sheetId="41" r:id="rId45"/>
  </sheets>
  <definedNames/>
  <calcPr/>
</workbook>
</file>

<file path=xl/sharedStrings.xml><?xml version="1.0" encoding="utf-8"?>
<sst xmlns="http://schemas.openxmlformats.org/spreadsheetml/2006/main" count="3710" uniqueCount="470">
  <si>
    <t>Name</t>
  </si>
  <si>
    <t>Cell</t>
  </si>
  <si>
    <t>Ray Long</t>
  </si>
  <si>
    <t>(804) 647-1100</t>
  </si>
  <si>
    <t>Jeffrey Hudgins</t>
  </si>
  <si>
    <t>(404) 931-8499</t>
  </si>
  <si>
    <t>Rob Jenkins</t>
  </si>
  <si>
    <t>(804) 400-8140</t>
  </si>
  <si>
    <t>Mike Estes</t>
  </si>
  <si>
    <t>(804) 402-4955</t>
  </si>
  <si>
    <t>Bill Gross</t>
  </si>
  <si>
    <t>(804) 307-7897</t>
  </si>
  <si>
    <t>Anthony Martinez</t>
  </si>
  <si>
    <t>(804) 852-4252</t>
  </si>
  <si>
    <t>Loren Michaels</t>
  </si>
  <si>
    <t>(828) 545-9802</t>
  </si>
  <si>
    <t>Ben Isbell</t>
  </si>
  <si>
    <t>(804) 314-6253</t>
  </si>
  <si>
    <t>Mike McBurnie</t>
  </si>
  <si>
    <t>(804) 239-9371</t>
  </si>
  <si>
    <t>Keith Winder</t>
  </si>
  <si>
    <t>(804) 852-6684</t>
  </si>
  <si>
    <t>Tyrone Poist</t>
  </si>
  <si>
    <t>(757) 761-7610</t>
  </si>
  <si>
    <t>EP Perkins</t>
  </si>
  <si>
    <t>011 44 7825 990288</t>
  </si>
  <si>
    <t>WhatsApp or Google Text Message</t>
  </si>
  <si>
    <t>Place</t>
  </si>
  <si>
    <t>Dynasty</t>
  </si>
  <si>
    <t>2 Keepers</t>
  </si>
  <si>
    <t>Tyrone</t>
  </si>
  <si>
    <t>Jeffrey</t>
  </si>
  <si>
    <t>Mike M</t>
  </si>
  <si>
    <t>EP</t>
  </si>
  <si>
    <t>Loren</t>
  </si>
  <si>
    <t>KW</t>
  </si>
  <si>
    <t>Bill</t>
  </si>
  <si>
    <t>Dan</t>
  </si>
  <si>
    <t>Ben</t>
  </si>
  <si>
    <t>Rob</t>
  </si>
  <si>
    <t>DJ</t>
  </si>
  <si>
    <t>Chris H</t>
  </si>
  <si>
    <t>Ray</t>
  </si>
  <si>
    <t>Matt</t>
  </si>
  <si>
    <t>KD</t>
  </si>
  <si>
    <t>Mike E</t>
  </si>
  <si>
    <t>Amart</t>
  </si>
  <si>
    <t>Dave B</t>
  </si>
  <si>
    <t>Dave G</t>
  </si>
  <si>
    <t>JD</t>
  </si>
  <si>
    <t>Tommy</t>
  </si>
  <si>
    <t>Chris B</t>
  </si>
  <si>
    <t>Jay</t>
  </si>
  <si>
    <t>Bernie</t>
  </si>
  <si>
    <t>Mike L</t>
  </si>
  <si>
    <t>BJ</t>
  </si>
  <si>
    <t>Junior</t>
  </si>
  <si>
    <t>Chris M</t>
  </si>
  <si>
    <t>Active Players</t>
  </si>
  <si>
    <t>Prior Players</t>
  </si>
  <si>
    <t>Years Involved</t>
  </si>
  <si>
    <t>Avg Finish</t>
  </si>
  <si>
    <t>Playoff Appearance</t>
  </si>
  <si>
    <t>Champs</t>
  </si>
  <si>
    <t>% to Win</t>
  </si>
  <si>
    <t>Bill/Caden</t>
  </si>
  <si>
    <t>Total</t>
  </si>
  <si>
    <t>Names</t>
  </si>
  <si>
    <t>Average</t>
  </si>
  <si>
    <t>Year</t>
  </si>
  <si>
    <t>Winner</t>
  </si>
  <si>
    <t># of Teams</t>
  </si>
  <si>
    <t>Entry Fee</t>
  </si>
  <si>
    <t>Total Collected</t>
  </si>
  <si>
    <t>Weekly Top Scorer</t>
  </si>
  <si>
    <t>Champ Ring</t>
  </si>
  <si>
    <t>4th Place</t>
  </si>
  <si>
    <t>3rd Place</t>
  </si>
  <si>
    <t>2nd Place</t>
  </si>
  <si>
    <t>Champ</t>
  </si>
  <si>
    <t>Total Paid Out</t>
  </si>
  <si>
    <t>14 weeks</t>
  </si>
  <si>
    <t>1 Trophy</t>
  </si>
  <si>
    <t>1 player</t>
  </si>
  <si>
    <t>Weekly Payouts</t>
  </si>
  <si>
    <t>Weeks</t>
  </si>
  <si>
    <t>Total Payout Per Week</t>
  </si>
  <si>
    <t>All Eligible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</si>
  <si>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</si>
  <si>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</si>
  <si>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</si>
  <si>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</si>
  <si>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</si>
  <si>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</si>
  <si>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</si>
  <si>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</si>
  <si>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</si>
  <si>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</si>
  <si>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</si>
  <si>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</si>
  <si>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</si>
  <si>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</si>
  <si>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*see below</t>
  </si>
  <si>
    <t>Week15</t>
  </si>
  <si>
    <t>Week16</t>
  </si>
  <si>
    <t>Week17</t>
  </si>
  <si>
    <t>*$5 go to new nameplate</t>
  </si>
  <si>
    <t>*$75 entry fee in inaugural season. $50 for current season and $25 for the following season.</t>
  </si>
  <si>
    <t>Weekly Payout</t>
  </si>
  <si>
    <t>1st Place</t>
  </si>
  <si>
    <t>Amount Won</t>
  </si>
  <si>
    <t>Entry Fee Paid</t>
  </si>
  <si>
    <t>Rollover to 2023</t>
  </si>
  <si>
    <t>Total Earned</t>
  </si>
  <si>
    <t>Paid</t>
  </si>
  <si>
    <t>Owes</t>
  </si>
  <si>
    <t>Earl</t>
  </si>
  <si>
    <t>Pays at the end of the season</t>
  </si>
  <si>
    <t>Week</t>
  </si>
  <si>
    <t>Amount</t>
  </si>
  <si>
    <t>High Score</t>
  </si>
  <si>
    <t>Wk1</t>
  </si>
  <si>
    <t>Yes</t>
  </si>
  <si>
    <t>Seed#</t>
  </si>
  <si>
    <t>Long County Club</t>
  </si>
  <si>
    <t>W</t>
  </si>
  <si>
    <t>L</t>
  </si>
  <si>
    <t>T</t>
  </si>
  <si>
    <t>GB</t>
  </si>
  <si>
    <t>PF</t>
  </si>
  <si>
    <t>PA</t>
  </si>
  <si>
    <t>Points Out of Playoffs</t>
  </si>
  <si>
    <t>Wk2</t>
  </si>
  <si>
    <t>CookieMonsters</t>
  </si>
  <si>
    <t>Wk3</t>
  </si>
  <si>
    <t>Bower Rangers</t>
  </si>
  <si>
    <t>Wk4</t>
  </si>
  <si>
    <t>Won't You Be My Nabers</t>
  </si>
  <si>
    <t>Wk5</t>
  </si>
  <si>
    <t>BenL</t>
  </si>
  <si>
    <t>Wk6</t>
  </si>
  <si>
    <t>CeeDee's Cousins</t>
  </si>
  <si>
    <t>Wk7</t>
  </si>
  <si>
    <t>Roaring 20</t>
  </si>
  <si>
    <t>Wk8</t>
  </si>
  <si>
    <t>Off Constantly</t>
  </si>
  <si>
    <t>Wk9</t>
  </si>
  <si>
    <t>Sycamore Bishops</t>
  </si>
  <si>
    <t>Wk10</t>
  </si>
  <si>
    <t>Chicago Cutlers</t>
  </si>
  <si>
    <t>Wk11</t>
  </si>
  <si>
    <t>The People's Team</t>
  </si>
  <si>
    <t>Wk12</t>
  </si>
  <si>
    <t>Redneck Rebels</t>
  </si>
  <si>
    <t>Wk13</t>
  </si>
  <si>
    <t>ICOR 4 Lyfe</t>
  </si>
  <si>
    <t>Wk14</t>
  </si>
  <si>
    <t>*$300 Dynasty deposit stored in VACU Checking Acct ending in ...6419 and will be given to Champ if a person leaves the league and a new person joins and pays $75</t>
  </si>
  <si>
    <t>Team BenL</t>
  </si>
  <si>
    <t>Won't You be my Nabers</t>
  </si>
  <si>
    <t>Love the Stroud Boys</t>
  </si>
  <si>
    <t>Champtochumps</t>
  </si>
  <si>
    <t xml:space="preserve">Jeffrey </t>
  </si>
  <si>
    <t>CEEDEE's…Cousins</t>
  </si>
  <si>
    <t>Took from what he owed</t>
  </si>
  <si>
    <t>Runningback University</t>
  </si>
  <si>
    <t>MyTeamSucksNuts</t>
  </si>
  <si>
    <t xml:space="preserve">Off Constantly </t>
  </si>
  <si>
    <t>Mike E.</t>
  </si>
  <si>
    <t>Maybe NX Year</t>
  </si>
  <si>
    <t>TeamRoaring20</t>
  </si>
  <si>
    <t xml:space="preserve">Ben </t>
  </si>
  <si>
    <t>The Stroud Boys</t>
  </si>
  <si>
    <t>took away from what he owed</t>
  </si>
  <si>
    <t>We used Burrow &amp; Hurst Week 18 results to decide winner</t>
  </si>
  <si>
    <t>Subtracted $30 from his final total.</t>
  </si>
  <si>
    <t>*25 extra will go to Champ this year due to Dan leaving the league</t>
  </si>
  <si>
    <t>Rollover to 2022</t>
  </si>
  <si>
    <t>Mike</t>
  </si>
  <si>
    <t>Postseason Pusher</t>
  </si>
  <si>
    <t>Team Roaring20</t>
  </si>
  <si>
    <t>Team Benl</t>
  </si>
  <si>
    <t>Team Sycamore Bishops</t>
  </si>
  <si>
    <t>CEEDEE's... Cousins?</t>
  </si>
  <si>
    <t>OFF Constantly</t>
  </si>
  <si>
    <t>OhLordPleaseHelpMe</t>
  </si>
  <si>
    <t>Took out of entry</t>
  </si>
  <si>
    <t>Ridiculousville Quicksand</t>
  </si>
  <si>
    <t>Myteamsucksnuts</t>
  </si>
  <si>
    <t>Trust the Process</t>
  </si>
  <si>
    <t>Name Plate</t>
  </si>
  <si>
    <t>The People's Court</t>
  </si>
  <si>
    <t>Why is Ray so bad at FF?</t>
  </si>
  <si>
    <t>6 Rings</t>
  </si>
  <si>
    <t>Team Zordetto</t>
  </si>
  <si>
    <t>Nature Boys</t>
  </si>
  <si>
    <t>Tank Eagles Tank</t>
  </si>
  <si>
    <t>N/A</t>
  </si>
  <si>
    <t>Team ChicagoCutlers</t>
  </si>
  <si>
    <t>My Chubbs on Ice</t>
  </si>
  <si>
    <t>Team The LowRider</t>
  </si>
  <si>
    <t>IsThisYearOverYet</t>
  </si>
  <si>
    <t>Current</t>
  </si>
  <si>
    <t>Advance to Playoffs</t>
  </si>
  <si>
    <t>Advancing to Finals</t>
  </si>
  <si>
    <t>Win Finals</t>
  </si>
  <si>
    <t>$0</t>
  </si>
  <si>
    <t>$25</t>
  </si>
  <si>
    <t>Hypothetical</t>
  </si>
  <si>
    <t>Hurricane Isbell</t>
  </si>
  <si>
    <t>New Kid On the Block</t>
  </si>
  <si>
    <t>Makin' It Rain</t>
  </si>
  <si>
    <t>Admiral Aweome</t>
  </si>
  <si>
    <t xml:space="preserve">OFF Constantly </t>
  </si>
  <si>
    <t>Keith</t>
  </si>
  <si>
    <t>I Am The Great CornJulio</t>
  </si>
  <si>
    <t>The Brees Knees</t>
  </si>
  <si>
    <t>The Soiled Trousers</t>
  </si>
  <si>
    <t>Rebuilding Year</t>
  </si>
  <si>
    <t>Wk15</t>
  </si>
  <si>
    <t>Wk16</t>
  </si>
  <si>
    <t>Playoff#1</t>
  </si>
  <si>
    <t>Playoff#2</t>
  </si>
  <si>
    <t>Playoff#3</t>
  </si>
  <si>
    <t>Playoff#4</t>
  </si>
  <si>
    <t>Playoff#5</t>
  </si>
  <si>
    <t>Playoff#6</t>
  </si>
  <si>
    <t>Finalist#1</t>
  </si>
  <si>
    <t>Finalist#2</t>
  </si>
  <si>
    <t>Venmo</t>
  </si>
  <si>
    <t>see payout notes</t>
  </si>
  <si>
    <t>My Bank Acct</t>
  </si>
  <si>
    <t>Paypal, see payout notes</t>
  </si>
  <si>
    <t>took from amount owed</t>
  </si>
  <si>
    <t>Makin It Rain</t>
  </si>
  <si>
    <t>Admiral Awesome</t>
  </si>
  <si>
    <t>took $4 from entry amount owed &amp; $3 for Eagles dress for Elyssa</t>
  </si>
  <si>
    <t>I am the Great CornJulio</t>
  </si>
  <si>
    <t>Sanu Jack City</t>
  </si>
  <si>
    <t>PayPal</t>
  </si>
  <si>
    <t>took from amount owed, owe him $1</t>
  </si>
  <si>
    <t>took $7 from Kate bday card</t>
  </si>
  <si>
    <t>took $9 from amount owed, owe $66</t>
  </si>
  <si>
    <t>*$5 of the $140 goes to the new nameplate, so winner only gets $135</t>
  </si>
  <si>
    <t>paid</t>
  </si>
  <si>
    <t>see above notes</t>
  </si>
  <si>
    <t>Paypal</t>
  </si>
  <si>
    <t>I owe $5 to him, roll to next year</t>
  </si>
  <si>
    <t>Chris</t>
  </si>
  <si>
    <t>Winter Is Coming</t>
  </si>
  <si>
    <t>Dunkirk Cousins</t>
  </si>
  <si>
    <t>Boss Hogg is Back Baby!</t>
  </si>
  <si>
    <t>Check/Paypal</t>
  </si>
  <si>
    <t>Beas</t>
  </si>
  <si>
    <t>David B</t>
  </si>
  <si>
    <t>took out of his owed money</t>
  </si>
  <si>
    <t>Hypothetical in The Clavical</t>
  </si>
  <si>
    <t>VA Beach Admiral Awesome</t>
  </si>
  <si>
    <t>CAM You Dig It?1</t>
  </si>
  <si>
    <t>Show Me Your TDs</t>
  </si>
  <si>
    <t>No</t>
  </si>
  <si>
    <t>VA Beach Commander Cool</t>
  </si>
  <si>
    <t>Dave</t>
  </si>
  <si>
    <t>1.21 JJ Watts</t>
  </si>
  <si>
    <t>CAM You Dig It?</t>
  </si>
  <si>
    <t>Robo Pickin</t>
  </si>
  <si>
    <t>Bench 60</t>
  </si>
  <si>
    <t>Julio Think You Are</t>
  </si>
  <si>
    <t>beat Ben by bench score</t>
  </si>
  <si>
    <t>Smoke Signals for Cutler</t>
  </si>
  <si>
    <t>Jonesin for a Natty Ice</t>
  </si>
  <si>
    <t>Montpelier Molesters</t>
  </si>
  <si>
    <t>Reg Season Standings</t>
  </si>
  <si>
    <t>Final Standings After Playoff</t>
  </si>
  <si>
    <t>Draft Order</t>
  </si>
  <si>
    <t>Owner</t>
  </si>
  <si>
    <t>#</t>
  </si>
  <si>
    <t>Team Name</t>
  </si>
  <si>
    <t>CEEDEE's...Cousins</t>
  </si>
  <si>
    <t>Ben I</t>
  </si>
  <si>
    <t>Roaring20</t>
  </si>
  <si>
    <t>ICOR 4 LYFE</t>
  </si>
  <si>
    <t>ChamptoChump</t>
  </si>
  <si>
    <t>Won't You be my Nabors</t>
  </si>
  <si>
    <t>CEEDEE's....Cousins</t>
  </si>
  <si>
    <t>MIke M</t>
  </si>
  <si>
    <t>The Stroud Boyts</t>
  </si>
  <si>
    <t>Team Roarng20</t>
  </si>
  <si>
    <t>CeeDee's Cousins?</t>
  </si>
  <si>
    <t>LongerProcess</t>
  </si>
  <si>
    <t>The People's Buzzsaw</t>
  </si>
  <si>
    <t>NextStopBijanStation</t>
  </si>
  <si>
    <t>Ridder Me This</t>
  </si>
  <si>
    <t>TeamMyteamsucksnuts</t>
  </si>
  <si>
    <t>CeeDee's...Cousins?</t>
  </si>
  <si>
    <t>Dan Lowery</t>
  </si>
  <si>
    <t>The People's Cut</t>
  </si>
  <si>
    <t>CeeDees Cousins</t>
  </si>
  <si>
    <t>CeeDees Cousin</t>
  </si>
  <si>
    <t>Trust The Process</t>
  </si>
  <si>
    <t>newkidotb</t>
  </si>
  <si>
    <t>New Kid on the Block</t>
  </si>
  <si>
    <t>Makin’ It Rain</t>
  </si>
  <si>
    <t>Soiled Trousers</t>
  </si>
  <si>
    <t xml:space="preserve">The People's Team </t>
  </si>
  <si>
    <t>Boss Hogg is Back Baby!!!!</t>
  </si>
  <si>
    <t>Donekirk Cousins</t>
  </si>
  <si>
    <t>Winter is Coming</t>
  </si>
  <si>
    <t>Boss Hogg is Back Baby!!!</t>
  </si>
  <si>
    <t>CAM You Dig It</t>
  </si>
  <si>
    <t>Hypothetical in The clavical</t>
  </si>
  <si>
    <t>Va Beach Commander Cool</t>
  </si>
  <si>
    <t>CAM  You Dig It</t>
  </si>
  <si>
    <t>Lamehorse University</t>
  </si>
  <si>
    <t>CAM I Win A Game</t>
  </si>
  <si>
    <t>Flowery Branch Blankensteins</t>
  </si>
  <si>
    <t>CAM You Dig It?!</t>
  </si>
  <si>
    <t>Roaring 20 Weezy</t>
  </si>
  <si>
    <t>Matty Ice</t>
  </si>
  <si>
    <t>Peg Leg Down</t>
  </si>
  <si>
    <t>Miami Monsters of Midway</t>
  </si>
  <si>
    <t>Burnt Bad</t>
  </si>
  <si>
    <t>Running Out of Peg Legs</t>
  </si>
  <si>
    <t>Remove HC</t>
  </si>
  <si>
    <t>Add Bench Spot</t>
  </si>
  <si>
    <t>Top 6 Based on Record</t>
  </si>
  <si>
    <t>Top 4 Record/Top 2 Points For</t>
  </si>
  <si>
    <t>created Survey Monkey</t>
  </si>
  <si>
    <t>Opt1</t>
  </si>
  <si>
    <t>Opt2</t>
  </si>
  <si>
    <t>Opt3</t>
  </si>
  <si>
    <t>Weekly</t>
  </si>
  <si>
    <t>Playoffs</t>
  </si>
  <si>
    <t>Finals</t>
  </si>
  <si>
    <t>High Score Tie-Breaker</t>
  </si>
  <si>
    <t>Change Scoring (Receiving Only)</t>
  </si>
  <si>
    <t>Modify Roster Limits</t>
  </si>
  <si>
    <t>Modify Bench</t>
  </si>
  <si>
    <t>Modify Keepers Part I</t>
  </si>
  <si>
    <t>Modify Keepers Part II</t>
  </si>
  <si>
    <t>Bench</t>
  </si>
  <si>
    <t>You will get 1pt for every 10 receiving yards (ex: 100 yard receiving game would be worth 10pts)</t>
  </si>
  <si>
    <t xml:space="preserve">Max of 5 RB and 5 WR </t>
  </si>
  <si>
    <t>Increase to 8 Bench Spots to allow for additional roster spots</t>
  </si>
  <si>
    <t>You have to have at least 1 keeper</t>
  </si>
  <si>
    <t>2 Keepers at any positions</t>
  </si>
  <si>
    <t>Max of 3 RB and 3 WR</t>
  </si>
  <si>
    <t>5 Bench Spots</t>
  </si>
  <si>
    <t>You can drop both keepers</t>
  </si>
  <si>
    <t>Split</t>
  </si>
  <si>
    <t>2 Keepers but can only be 1 per position</t>
  </si>
  <si>
    <t>You get 1pt for every 20 receiving yards (ex: 100 yard receiving game is only worth 5pts)</t>
  </si>
  <si>
    <t>Add 2 Players</t>
  </si>
  <si>
    <t>IDP</t>
  </si>
  <si>
    <t>IDP Pts</t>
  </si>
  <si>
    <t>Capped Pos</t>
  </si>
  <si>
    <t>Reduce</t>
  </si>
  <si>
    <t>Increase</t>
  </si>
  <si>
    <t>Cap</t>
  </si>
  <si>
    <t>Uncap</t>
  </si>
  <si>
    <t>9 -Yes/1-No</t>
  </si>
  <si>
    <t>10 Reduce</t>
  </si>
  <si>
    <t>10 Increase</t>
  </si>
  <si>
    <t>6-Cap/4-Uncap</t>
  </si>
  <si>
    <t>9-$40/1-$20</t>
  </si>
  <si>
    <t>Win Score</t>
  </si>
  <si>
    <t>Lose Score</t>
  </si>
  <si>
    <t>Loser</t>
  </si>
  <si>
    <t>?</t>
  </si>
  <si>
    <t>Bench won 60 to 43</t>
  </si>
  <si>
    <t>Keeper#1</t>
  </si>
  <si>
    <t>Keeper#2</t>
  </si>
  <si>
    <t>Fav Team</t>
  </si>
  <si>
    <t>Falcons</t>
  </si>
  <si>
    <t>Eagles</t>
  </si>
  <si>
    <t>Bears</t>
  </si>
  <si>
    <t>Redskins</t>
  </si>
  <si>
    <t>Steelers</t>
  </si>
  <si>
    <t>Giants</t>
  </si>
  <si>
    <t>Cowboys</t>
  </si>
  <si>
    <t>Lions</t>
  </si>
  <si>
    <t>Travis Kelce</t>
  </si>
  <si>
    <t>Derrick Henry</t>
  </si>
  <si>
    <t>Austin Ekeler</t>
  </si>
  <si>
    <t>Saquon Barkley</t>
  </si>
  <si>
    <t>Christian McCaffrey</t>
  </si>
  <si>
    <t>Matt Ryan</t>
  </si>
  <si>
    <t>Alvin Kamara</t>
  </si>
  <si>
    <t>Aaron Jones</t>
  </si>
  <si>
    <t>Miles Sanders</t>
  </si>
  <si>
    <t>Julio Jones</t>
  </si>
  <si>
    <t>Sammy Watkins</t>
  </si>
  <si>
    <t>Todd Gurley II</t>
  </si>
  <si>
    <t>Russell Wilson</t>
  </si>
  <si>
    <t>Odell Beckham Jr</t>
  </si>
  <si>
    <t>Joe Mixon</t>
  </si>
  <si>
    <t>Josh Jacobs</t>
  </si>
  <si>
    <t>Melvin Gordon</t>
  </si>
  <si>
    <t>Dalvin Cook</t>
  </si>
  <si>
    <t>Patrick Mahomes</t>
  </si>
  <si>
    <t>Ezekiel Elliott</t>
  </si>
  <si>
    <t>Devante Adams</t>
  </si>
  <si>
    <t>Lamar Jackson</t>
  </si>
  <si>
    <t>David Johnson</t>
  </si>
  <si>
    <t>Aaron Rodgers</t>
  </si>
  <si>
    <t>DeAndre Hopkins</t>
  </si>
  <si>
    <t>Nick Chubb</t>
  </si>
  <si>
    <t>James Conner</t>
  </si>
  <si>
    <t>Antonio Brown</t>
  </si>
  <si>
    <t>Michael</t>
  </si>
  <si>
    <t>Davante Adams</t>
  </si>
  <si>
    <t>Tyreek Hill</t>
  </si>
  <si>
    <t>Michael Thomas</t>
  </si>
  <si>
    <t>Juju Smith_Schuster</t>
  </si>
  <si>
    <t>Sony Michel</t>
  </si>
  <si>
    <t>Kareem Hunt</t>
  </si>
  <si>
    <t>Doug Baldwin</t>
  </si>
  <si>
    <t>Carson Wentz</t>
  </si>
  <si>
    <t>Deshaun Watson</t>
  </si>
  <si>
    <t>Matthew Stafford</t>
  </si>
  <si>
    <t>Leonard Fournette</t>
  </si>
  <si>
    <t>Keenan Allen</t>
  </si>
  <si>
    <t>Odell Beckham Jr.</t>
  </si>
  <si>
    <t>AJ Green</t>
  </si>
  <si>
    <t>Le'Veon Bell</t>
  </si>
  <si>
    <t>Jordy Nelson</t>
  </si>
  <si>
    <t>Devnonta Freeman</t>
  </si>
  <si>
    <t>Mike Evans</t>
  </si>
  <si>
    <t>Todd Gurley</t>
  </si>
  <si>
    <t>Kirk Cousins</t>
  </si>
  <si>
    <t>Jay Ajayi</t>
  </si>
  <si>
    <t>Tom Brady</t>
  </si>
  <si>
    <t>Derek Carr</t>
  </si>
  <si>
    <t>DeMarco Murray</t>
  </si>
  <si>
    <t>Le'Veion Bell</t>
  </si>
  <si>
    <t>Spencer Ware</t>
  </si>
  <si>
    <t>Jordan Howard</t>
  </si>
  <si>
    <t>Adrian Peterson</t>
  </si>
  <si>
    <t>Devonta Freeman</t>
  </si>
  <si>
    <t>Rob Gronkowski</t>
  </si>
  <si>
    <t>Eddie Lacy</t>
  </si>
  <si>
    <t>Lamar Miller</t>
  </si>
  <si>
    <t>Panthers</t>
  </si>
  <si>
    <t>Jamaal Charles</t>
  </si>
  <si>
    <t>Allen Robinson</t>
  </si>
  <si>
    <t>Cam Newton</t>
  </si>
  <si>
    <t>Marcus Mariota</t>
  </si>
  <si>
    <t>Matt Forte</t>
  </si>
  <si>
    <t>Luke Kuechly</t>
  </si>
  <si>
    <t>Gary Barnidge</t>
  </si>
  <si>
    <t>Odell Beckham</t>
  </si>
  <si>
    <t>CJ Anderson</t>
  </si>
  <si>
    <t>Demaryius Thomas</t>
  </si>
  <si>
    <t>Mark Ingram</t>
  </si>
  <si>
    <t>Jeremy Maclin</t>
  </si>
  <si>
    <t>Andrew Luck</t>
  </si>
  <si>
    <t>Drew Brees</t>
  </si>
  <si>
    <t>Eddie Lacey</t>
  </si>
  <si>
    <t>Calvin Johnson</t>
  </si>
  <si>
    <t>Marshawn Lynch</t>
  </si>
  <si>
    <t>JJ Watt</t>
  </si>
  <si>
    <t>Dez Bryant</t>
  </si>
  <si>
    <t>LeSean McCoy</t>
  </si>
  <si>
    <t>Zac Stacy</t>
  </si>
  <si>
    <t>DeSean Jackson</t>
  </si>
  <si>
    <t>Peyton Manning</t>
  </si>
  <si>
    <t>Skins</t>
  </si>
  <si>
    <t>Brandon Marshall</t>
  </si>
  <si>
    <t>Vernon Davis</t>
  </si>
  <si>
    <t>Colin Kaepernick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</si>
</sst>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&quot;$&quot;#,##0"/>
    <numFmt numFmtId="166" formatCode="&quot;$&quot;#,##0_);[Red]\(&quot;$&quot;#,##0\)"/>
    <numFmt numFmtId="167" formatCode="&quot;$&quot;#,##0.00"/>
    <numFmt numFmtId="168" formatCode="&quot;$&quot;#,##0.00_);[Red]\(&quot;$&quot;#,##0.00\)"/>
  </numFmts>
  <fonts count="30">
    <font>
      <sz val="10.0"/>
      <color rgb="FF000000"/>
      <name val="Arial"/>
      <scheme val="minor"/>
    </font>
    <font>
      <b/>
      <color theme="1"/>
      <name val="Arial"/>
    </font>
    <font>
      <color rgb="FF000000"/>
      <name val="Arial"/>
    </font>
    <font>
      <color theme="1"/>
      <name val="Arial"/>
    </font>
    <font>
      <color theme="1"/>
      <name val="Arial"/>
      <scheme val="minor"/>
    </font>
    <font/>
    <font>
      <b/>
      <color theme="0"/>
      <name val="Arial"/>
      <scheme val="minor"/>
    </font>
    <font>
      <b/>
      <sz val="8.0"/>
      <color rgb="FF000000"/>
      <name val="Arial"/>
    </font>
    <font>
      <sz val="8.0"/>
      <color rgb="FF000000"/>
      <name val="Arial"/>
    </font>
    <font>
      <b/>
      <color rgb="FF000000"/>
      <name val="Arial"/>
    </font>
    <font>
      <i/>
      <color rgb="FF000000"/>
      <name val="Arial"/>
    </font>
    <font>
      <b/>
      <i/>
      <color rgb="FF000000"/>
      <name val="Arial"/>
    </font>
    <font>
      <b/>
      <color theme="1"/>
      <name val="Arial"/>
      <scheme val="minor"/>
    </font>
    <font>
      <sz val="8.0"/>
      <color theme="1"/>
      <name val="Arial"/>
    </font>
    <font>
      <b/>
      <color theme="1"/>
      <name val="&quot;Times New Roman&quot;"/>
    </font>
    <font>
      <color theme="1"/>
      <name val="&quot;Times New Roman&quot;"/>
    </font>
    <font>
      <color rgb="FFFFFFFF"/>
      <name val="&quot;Times New Roman&quot;"/>
    </font>
    <font>
      <color rgb="FFFFFFFF"/>
      <name val="Arial"/>
    </font>
    <font>
      <color theme="1"/>
      <name val="Times New Roman"/>
    </font>
    <font>
      <color rgb="FFFF0000"/>
      <name val="Arial"/>
    </font>
    <font>
      <b/>
      <color rgb="FFFF0000"/>
      <name val="Arial"/>
    </font>
    <font>
      <b/>
      <color theme="1"/>
      <name val="Times New Roman"/>
    </font>
    <font>
      <b/>
      <sz val="8.0"/>
      <color theme="1"/>
      <name val="Arial"/>
    </font>
    <font>
      <color rgb="FFFFFFFF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b/>
      <sz val="10.0"/>
      <color theme="1"/>
      <name val="Times New Roman"/>
    </font>
    <font>
      <b/>
      <sz val="10.0"/>
      <color theme="1"/>
      <name val="Arial"/>
    </font>
    <font>
      <sz val="10.0"/>
      <color theme="1"/>
      <name val="Times New Roman"/>
    </font>
    <font>
      <sz val="8.0"/>
      <color theme="1"/>
      <name val="Times New Roman"/>
    </font>
  </fonts>
  <fills count="2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A5A5A5"/>
        <bgColor rgb="FFA5A5A5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BFBFBF"/>
        <bgColor rgb="FFBFBFB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C0C0C0"/>
        <bgColor rgb="FFC0C0C0"/>
      </patternFill>
    </fill>
    <fill>
      <patternFill patternType="solid">
        <fgColor rgb="FF80C2F8"/>
        <bgColor rgb="FF80C2F8"/>
      </patternFill>
    </fill>
    <fill>
      <patternFill patternType="solid">
        <fgColor rgb="FFB7E1CD"/>
        <bgColor rgb="FFB7E1CD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</fills>
  <borders count="80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3" fontId="2" numFmtId="0" xfId="0" applyAlignment="1" applyBorder="1" applyFill="1" applyFont="1">
      <alignment vertical="center"/>
    </xf>
    <xf borderId="4" fillId="3" fontId="2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readingOrder="0" vertic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vertical="center"/>
    </xf>
    <xf borderId="7" fillId="4" fontId="1" numFmtId="0" xfId="0" applyAlignment="1" applyBorder="1" applyFill="1" applyFont="1">
      <alignment horizontal="center" vertical="center"/>
    </xf>
    <xf borderId="8" fillId="5" fontId="1" numFmtId="0" xfId="0" applyAlignment="1" applyBorder="1" applyFill="1" applyFont="1">
      <alignment horizontal="center" readingOrder="0" vertical="center"/>
    </xf>
    <xf borderId="8" fillId="0" fontId="5" numFmtId="0" xfId="0" applyBorder="1" applyFont="1"/>
    <xf borderId="2" fillId="0" fontId="5" numFmtId="0" xfId="0" applyBorder="1" applyFont="1"/>
    <xf borderId="9" fillId="6" fontId="1" numFmtId="0" xfId="0" applyAlignment="1" applyBorder="1" applyFill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10" fillId="0" fontId="5" numFmtId="0" xfId="0" applyBorder="1" applyFont="1"/>
    <xf borderId="11" fillId="7" fontId="1" numFmtId="0" xfId="0" applyAlignment="1" applyBorder="1" applyFill="1" applyFont="1">
      <alignment horizontal="center" readingOrder="0" vertical="center"/>
    </xf>
    <xf borderId="12" fillId="7" fontId="1" numFmtId="0" xfId="0" applyAlignment="1" applyBorder="1" applyFont="1">
      <alignment horizontal="center" readingOrder="0" vertical="center"/>
    </xf>
    <xf borderId="13" fillId="7" fontId="1" numFmtId="0" xfId="0" applyAlignment="1" applyBorder="1" applyFont="1">
      <alignment horizontal="center" readingOrder="0" vertical="center"/>
    </xf>
    <xf borderId="13" fillId="7" fontId="1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2" fillId="7" fontId="1" numFmtId="0" xfId="0" applyAlignment="1" applyBorder="1" applyFont="1">
      <alignment horizontal="center" vertical="center"/>
    </xf>
    <xf borderId="14" fillId="7" fontId="1" numFmtId="0" xfId="0" applyAlignment="1" applyBorder="1" applyFont="1">
      <alignment horizontal="center" vertical="center"/>
    </xf>
    <xf borderId="0" fillId="7" fontId="1" numFmtId="0" xfId="0" applyAlignment="1" applyFont="1">
      <alignment horizontal="center" vertical="center"/>
    </xf>
    <xf borderId="15" fillId="7" fontId="1" numFmtId="0" xfId="0" applyAlignment="1" applyBorder="1" applyFont="1">
      <alignment horizontal="center" vertical="center"/>
    </xf>
    <xf borderId="15" fillId="8" fontId="3" numFmtId="0" xfId="0" applyAlignment="1" applyBorder="1" applyFill="1" applyFont="1">
      <alignment horizontal="center" vertical="center"/>
    </xf>
    <xf borderId="15" fillId="8" fontId="3" numFmtId="0" xfId="0" applyAlignment="1" applyBorder="1" applyFont="1">
      <alignment horizontal="center" readingOrder="0" vertical="center"/>
    </xf>
    <xf borderId="16" fillId="8" fontId="3" numFmtId="0" xfId="0" applyAlignment="1" applyBorder="1" applyFont="1">
      <alignment horizontal="center" vertical="center"/>
    </xf>
    <xf borderId="3" fillId="8" fontId="3" numFmtId="0" xfId="0" applyAlignment="1" applyBorder="1" applyFont="1">
      <alignment horizontal="center" vertical="center"/>
    </xf>
    <xf borderId="17" fillId="8" fontId="3" numFmtId="0" xfId="0" applyAlignment="1" applyBorder="1" applyFont="1">
      <alignment horizontal="center" vertical="center"/>
    </xf>
    <xf borderId="0" fillId="8" fontId="3" numFmtId="0" xfId="0" applyAlignment="1" applyFont="1">
      <alignment horizontal="center" vertical="center"/>
    </xf>
    <xf borderId="18" fillId="7" fontId="1" numFmtId="0" xfId="0" applyAlignment="1" applyBorder="1" applyFont="1">
      <alignment horizontal="center" vertical="center"/>
    </xf>
    <xf borderId="18" fillId="8" fontId="3" numFmtId="0" xfId="0" applyAlignment="1" applyBorder="1" applyFont="1">
      <alignment horizontal="center" vertical="center"/>
    </xf>
    <xf borderId="18" fillId="8" fontId="3" numFmtId="0" xfId="0" applyAlignment="1" applyBorder="1" applyFont="1">
      <alignment horizontal="center" readingOrder="0" vertical="center"/>
    </xf>
    <xf borderId="19" fillId="8" fontId="3" numFmtId="0" xfId="0" applyAlignment="1" applyBorder="1" applyFont="1">
      <alignment horizontal="center" vertical="center"/>
    </xf>
    <xf borderId="20" fillId="8" fontId="3" numFmtId="0" xfId="0" applyAlignment="1" applyBorder="1" applyFont="1">
      <alignment horizontal="center" readingOrder="0" vertical="center"/>
    </xf>
    <xf borderId="21" fillId="8" fontId="3" numFmtId="0" xfId="0" applyAlignment="1" applyBorder="1" applyFont="1">
      <alignment horizontal="center" vertical="center"/>
    </xf>
    <xf borderId="20" fillId="8" fontId="3" numFmtId="0" xfId="0" applyAlignment="1" applyBorder="1" applyFont="1">
      <alignment horizontal="center" vertical="center"/>
    </xf>
    <xf borderId="19" fillId="8" fontId="3" numFmtId="0" xfId="0" applyAlignment="1" applyBorder="1" applyFont="1">
      <alignment horizontal="center" readingOrder="0" vertical="center"/>
    </xf>
    <xf borderId="18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8" fillId="0" fontId="3" numFmtId="0" xfId="0" applyAlignment="1" applyBorder="1" applyFont="1">
      <alignment horizontal="center" readingOrder="0" vertical="center"/>
    </xf>
    <xf borderId="19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readingOrder="0" vertical="center"/>
    </xf>
    <xf borderId="18" fillId="9" fontId="3" numFmtId="0" xfId="0" applyAlignment="1" applyBorder="1" applyFill="1" applyFont="1">
      <alignment vertical="center"/>
    </xf>
    <xf borderId="21" fillId="9" fontId="3" numFmtId="0" xfId="0" applyAlignment="1" applyBorder="1" applyFont="1">
      <alignment vertical="center"/>
    </xf>
    <xf borderId="0" fillId="9" fontId="3" numFmtId="0" xfId="0" applyAlignment="1" applyFont="1">
      <alignment vertical="center"/>
    </xf>
    <xf borderId="22" fillId="7" fontId="1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readingOrder="0" vertical="center"/>
    </xf>
    <xf borderId="23" fillId="0" fontId="3" numFmtId="0" xfId="0" applyAlignment="1" applyBorder="1" applyFont="1">
      <alignment horizontal="center" readingOrder="0" vertical="center"/>
    </xf>
    <xf borderId="24" fillId="0" fontId="3" numFmtId="0" xfId="0" applyAlignment="1" applyBorder="1" applyFont="1">
      <alignment horizontal="center" vertical="center"/>
    </xf>
    <xf borderId="22" fillId="9" fontId="3" numFmtId="0" xfId="0" applyAlignment="1" applyBorder="1" applyFont="1">
      <alignment vertical="center"/>
    </xf>
    <xf borderId="25" fillId="9" fontId="3" numFmtId="0" xfId="0" applyAlignment="1" applyBorder="1" applyFont="1">
      <alignment vertical="center"/>
    </xf>
    <xf borderId="0" fillId="10" fontId="4" numFmtId="0" xfId="0" applyAlignment="1" applyFill="1" applyFont="1">
      <alignment vertical="center"/>
    </xf>
    <xf borderId="9" fillId="11" fontId="6" numFmtId="0" xfId="0" applyAlignment="1" applyBorder="1" applyFill="1" applyFont="1">
      <alignment horizontal="center" readingOrder="0" vertical="center"/>
    </xf>
    <xf borderId="0" fillId="9" fontId="6" numFmtId="0" xfId="0" applyAlignment="1" applyFont="1">
      <alignment horizontal="center" readingOrder="0"/>
    </xf>
    <xf borderId="9" fillId="12" fontId="6" numFmtId="0" xfId="0" applyAlignment="1" applyBorder="1" applyFill="1" applyFont="1">
      <alignment horizontal="center" readingOrder="0"/>
    </xf>
    <xf borderId="15" fillId="13" fontId="7" numFmtId="0" xfId="0" applyAlignment="1" applyBorder="1" applyFill="1" applyFont="1">
      <alignment horizontal="center" vertical="center"/>
    </xf>
    <xf borderId="15" fillId="13" fontId="7" numFmtId="0" xfId="0" applyAlignment="1" applyBorder="1" applyFont="1">
      <alignment horizontal="center" shrinkToFit="0" vertical="center" wrapText="1"/>
    </xf>
    <xf borderId="0" fillId="9" fontId="7" numFmtId="0" xfId="0" applyAlignment="1" applyFont="1">
      <alignment horizontal="center" vertical="center"/>
    </xf>
    <xf borderId="0" fillId="9" fontId="7" numFmtId="0" xfId="0" applyAlignment="1" applyFont="1">
      <alignment horizontal="center" shrinkToFit="0" vertical="center" wrapText="1"/>
    </xf>
    <xf borderId="0" fillId="10" fontId="4" numFmtId="0" xfId="0" applyFont="1"/>
    <xf borderId="18" fillId="0" fontId="8" numFmtId="0" xfId="0" applyAlignment="1" applyBorder="1" applyFont="1">
      <alignment vertical="center"/>
    </xf>
    <xf borderId="18" fillId="14" fontId="8" numFmtId="0" xfId="0" applyAlignment="1" applyBorder="1" applyFill="1" applyFont="1">
      <alignment horizontal="center" readingOrder="0" vertical="center"/>
    </xf>
    <xf borderId="18" fillId="3" fontId="8" numFmtId="2" xfId="0" applyAlignment="1" applyBorder="1" applyFont="1" applyNumberFormat="1">
      <alignment horizontal="center" shrinkToFit="0" vertical="center" wrapText="1"/>
    </xf>
    <xf borderId="18" fillId="3" fontId="8" numFmtId="0" xfId="0" applyAlignment="1" applyBorder="1" applyFont="1">
      <alignment horizontal="center" readingOrder="0" vertical="center"/>
    </xf>
    <xf borderId="18" fillId="3" fontId="8" numFmtId="0" xfId="0" applyAlignment="1" applyBorder="1" applyFont="1">
      <alignment horizontal="center" vertical="center"/>
    </xf>
    <xf borderId="18" fillId="0" fontId="8" numFmtId="9" xfId="0" applyAlignment="1" applyBorder="1" applyFont="1" applyNumberFormat="1">
      <alignment horizontal="center" vertical="center"/>
    </xf>
    <xf borderId="0" fillId="9" fontId="8" numFmtId="0" xfId="0" applyAlignment="1" applyFont="1">
      <alignment vertical="center"/>
    </xf>
    <xf borderId="0" fillId="9" fontId="8" numFmtId="0" xfId="0" applyAlignment="1" applyFont="1">
      <alignment horizontal="center" vertical="center"/>
    </xf>
    <xf borderId="0" fillId="9" fontId="8" numFmtId="2" xfId="0" applyAlignment="1" applyFont="1" applyNumberFormat="1">
      <alignment horizontal="center" shrinkToFit="0" vertical="center" wrapText="1"/>
    </xf>
    <xf borderId="0" fillId="9" fontId="8" numFmtId="9" xfId="0" applyAlignment="1" applyFont="1" applyNumberFormat="1">
      <alignment horizontal="center" vertical="center"/>
    </xf>
    <xf borderId="18" fillId="0" fontId="8" numFmtId="0" xfId="0" applyAlignment="1" applyBorder="1" applyFont="1">
      <alignment horizontal="center" vertical="center"/>
    </xf>
    <xf borderId="18" fillId="0" fontId="8" numFmtId="2" xfId="0" applyAlignment="1" applyBorder="1" applyFont="1" applyNumberFormat="1">
      <alignment horizontal="center" shrinkToFit="0" vertical="center" wrapText="1"/>
    </xf>
    <xf borderId="18" fillId="0" fontId="8" numFmtId="0" xfId="0" applyAlignment="1" applyBorder="1" applyFont="1">
      <alignment readingOrder="0" vertical="center"/>
    </xf>
    <xf borderId="18" fillId="14" fontId="8" numFmtId="2" xfId="0" applyAlignment="1" applyBorder="1" applyFont="1" applyNumberFormat="1">
      <alignment horizontal="center" readingOrder="0" vertical="center"/>
    </xf>
    <xf borderId="18" fillId="3" fontId="8" numFmtId="9" xfId="0" applyAlignment="1" applyBorder="1" applyFont="1" applyNumberFormat="1">
      <alignment horizontal="center" vertical="center"/>
    </xf>
    <xf borderId="18" fillId="15" fontId="8" numFmtId="0" xfId="0" applyAlignment="1" applyBorder="1" applyFill="1" applyFont="1">
      <alignment horizontal="center" vertical="center"/>
    </xf>
    <xf borderId="18" fillId="15" fontId="8" numFmtId="0" xfId="0" applyAlignment="1" applyBorder="1" applyFont="1">
      <alignment horizontal="center" readingOrder="0" vertical="center"/>
    </xf>
    <xf borderId="18" fillId="4" fontId="7" numFmtId="0" xfId="0" applyAlignment="1" applyBorder="1" applyFont="1">
      <alignment vertical="center"/>
    </xf>
    <xf borderId="18" fillId="4" fontId="7" numFmtId="164" xfId="0" applyAlignment="1" applyBorder="1" applyFont="1" applyNumberFormat="1">
      <alignment horizontal="center" vertical="center"/>
    </xf>
    <xf borderId="18" fillId="4" fontId="7" numFmtId="2" xfId="0" applyAlignment="1" applyBorder="1" applyFont="1" applyNumberFormat="1">
      <alignment horizontal="center" vertical="center"/>
    </xf>
    <xf borderId="18" fillId="4" fontId="7" numFmtId="1" xfId="0" applyAlignment="1" applyBorder="1" applyFont="1" applyNumberFormat="1">
      <alignment horizontal="center" vertical="center"/>
    </xf>
    <xf borderId="18" fillId="4" fontId="7" numFmtId="9" xfId="0" applyAlignment="1" applyBorder="1" applyFont="1" applyNumberFormat="1">
      <alignment horizontal="center" vertical="center"/>
    </xf>
    <xf borderId="0" fillId="9" fontId="8" numFmtId="2" xfId="0" applyAlignment="1" applyFont="1" applyNumberFormat="1">
      <alignment horizontal="center" readingOrder="0" shrinkToFit="0" vertical="center" wrapText="1"/>
    </xf>
    <xf borderId="18" fillId="3" fontId="8" numFmtId="2" xfId="0" applyAlignment="1" applyBorder="1" applyFont="1" applyNumberFormat="1">
      <alignment horizontal="center" readingOrder="0" shrinkToFit="0" vertical="center" wrapText="1"/>
    </xf>
    <xf borderId="18" fillId="16" fontId="8" numFmtId="9" xfId="0" applyAlignment="1" applyBorder="1" applyFill="1" applyFont="1" applyNumberFormat="1">
      <alignment horizontal="center" vertical="center"/>
    </xf>
    <xf borderId="18" fillId="13" fontId="9" numFmtId="0" xfId="0" applyAlignment="1" applyBorder="1" applyFont="1">
      <alignment horizontal="center" vertical="center"/>
    </xf>
    <xf borderId="18" fillId="13" fontId="9" numFmtId="0" xfId="0" applyAlignment="1" applyBorder="1" applyFont="1">
      <alignment horizontal="center" readingOrder="0" vertical="center"/>
    </xf>
    <xf borderId="18" fillId="13" fontId="9" numFmtId="0" xfId="0" applyAlignment="1" applyBorder="1" applyFont="1">
      <alignment horizontal="center"/>
    </xf>
    <xf borderId="18" fillId="13" fontId="10" numFmtId="0" xfId="0" applyAlignment="1" applyBorder="1" applyFont="1">
      <alignment vertical="center"/>
    </xf>
    <xf borderId="18" fillId="0" fontId="2" numFmtId="0" xfId="0" applyAlignment="1" applyBorder="1" applyFont="1">
      <alignment horizontal="center" vertical="center"/>
    </xf>
    <xf borderId="18" fillId="3" fontId="2" numFmtId="0" xfId="0" applyAlignment="1" applyBorder="1" applyFont="1">
      <alignment horizontal="center" readingOrder="0" vertical="center"/>
    </xf>
    <xf borderId="18" fillId="3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readingOrder="0" vertical="center"/>
    </xf>
    <xf borderId="18" fillId="0" fontId="11" numFmtId="2" xfId="0" applyAlignment="1" applyBorder="1" applyFont="1" applyNumberFormat="1">
      <alignment horizontal="center"/>
    </xf>
    <xf borderId="26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7" fillId="9" fontId="3" numFmtId="0" xfId="0" applyAlignment="1" applyBorder="1" applyFont="1">
      <alignment vertical="center"/>
    </xf>
    <xf borderId="28" fillId="0" fontId="2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8" fillId="13" fontId="10" numFmtId="0" xfId="0" applyAlignment="1" applyBorder="1" applyFont="1">
      <alignment readingOrder="0" vertical="center"/>
    </xf>
    <xf borderId="18" fillId="9" fontId="2" numFmtId="0" xfId="0" applyAlignment="1" applyBorder="1" applyFont="1">
      <alignment horizontal="center" vertical="center"/>
    </xf>
    <xf borderId="15" fillId="9" fontId="2" numFmtId="0" xfId="0" applyAlignment="1" applyBorder="1" applyFont="1">
      <alignment horizontal="center" vertical="center"/>
    </xf>
    <xf borderId="30" fillId="9" fontId="2" numFmtId="0" xfId="0" applyAlignment="1" applyBorder="1" applyFont="1">
      <alignment horizontal="center" vertical="center"/>
    </xf>
    <xf borderId="31" fillId="9" fontId="2" numFmtId="0" xfId="0" applyAlignment="1" applyBorder="1" applyFont="1">
      <alignment horizontal="center" vertical="center"/>
    </xf>
    <xf borderId="0" fillId="3" fontId="2" numFmtId="0" xfId="0" applyAlignment="1" applyFont="1">
      <alignment horizontal="center" vertical="center"/>
    </xf>
    <xf borderId="18" fillId="13" fontId="10" numFmtId="0" xfId="0" applyAlignment="1" applyBorder="1" applyFont="1">
      <alignment readingOrder="0" vertical="bottom"/>
    </xf>
    <xf borderId="18" fillId="3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15" fillId="10" fontId="4" numFmtId="0" xfId="0" applyAlignment="1" applyBorder="1" applyFont="1">
      <alignment vertical="center"/>
    </xf>
    <xf borderId="0" fillId="17" fontId="12" numFmtId="0" xfId="0" applyAlignment="1" applyFill="1" applyFont="1">
      <alignment horizontal="center" readingOrder="0" vertical="center"/>
    </xf>
    <xf borderId="0" fillId="17" fontId="12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3" fontId="13" numFmtId="0" xfId="0" applyAlignment="1" applyFont="1">
      <alignment vertical="center"/>
    </xf>
    <xf borderId="0" fillId="3" fontId="13" numFmtId="0" xfId="0" applyAlignment="1" applyFont="1">
      <alignment readingOrder="0" vertical="center"/>
    </xf>
    <xf borderId="18" fillId="18" fontId="14" numFmtId="0" xfId="0" applyAlignment="1" applyBorder="1" applyFill="1" applyFont="1">
      <alignment horizontal="center" shrinkToFit="0" vertical="center" wrapText="1"/>
    </xf>
    <xf borderId="18" fillId="18" fontId="14" numFmtId="0" xfId="0" applyAlignment="1" applyBorder="1" applyFont="1">
      <alignment horizontal="center" readingOrder="0" shrinkToFit="0" vertical="center" wrapText="1"/>
    </xf>
    <xf borderId="18" fillId="18" fontId="9" numFmtId="0" xfId="0" applyAlignment="1" applyBorder="1" applyFont="1">
      <alignment horizontal="center" shrinkToFit="0" vertical="center" wrapText="1"/>
    </xf>
    <xf borderId="18" fillId="0" fontId="15" numFmtId="3" xfId="0" applyAlignment="1" applyBorder="1" applyFont="1" applyNumberFormat="1">
      <alignment horizontal="center" shrinkToFit="0" vertical="center" wrapText="1"/>
    </xf>
    <xf borderId="18" fillId="0" fontId="15" numFmtId="165" xfId="0" applyAlignment="1" applyBorder="1" applyFont="1" applyNumberFormat="1">
      <alignment horizontal="center" shrinkToFit="0" vertical="center" wrapText="1"/>
    </xf>
    <xf borderId="18" fillId="0" fontId="15" numFmtId="165" xfId="0" applyAlignment="1" applyBorder="1" applyFont="1" applyNumberFormat="1">
      <alignment horizontal="center" readingOrder="0" shrinkToFit="0" vertical="center" wrapText="1"/>
    </xf>
    <xf borderId="18" fillId="0" fontId="3" numFmtId="165" xfId="0" applyAlignment="1" applyBorder="1" applyFont="1" applyNumberFormat="1">
      <alignment horizontal="center" shrinkToFit="0" vertical="center" wrapText="1"/>
    </xf>
    <xf borderId="18" fillId="0" fontId="15" numFmtId="0" xfId="0" applyAlignment="1" applyBorder="1" applyFont="1">
      <alignment horizontal="center" shrinkToFit="0" vertical="center" wrapText="1"/>
    </xf>
    <xf borderId="18" fillId="9" fontId="16" numFmtId="0" xfId="0" applyAlignment="1" applyBorder="1" applyFont="1">
      <alignment horizontal="center" shrinkToFit="0" vertical="center" wrapText="1"/>
    </xf>
    <xf borderId="18" fillId="9" fontId="17" numFmtId="0" xfId="0" applyAlignment="1" applyBorder="1" applyFont="1">
      <alignment horizontal="center" shrinkToFit="0" vertical="center" wrapText="1"/>
    </xf>
    <xf borderId="18" fillId="9" fontId="3" numFmtId="165" xfId="0" applyAlignment="1" applyBorder="1" applyFont="1" applyNumberFormat="1">
      <alignment vertical="center"/>
    </xf>
    <xf borderId="19" fillId="19" fontId="14" numFmtId="0" xfId="0" applyAlignment="1" applyBorder="1" applyFill="1" applyFont="1">
      <alignment horizontal="center" shrinkToFit="0" vertical="center" wrapText="1"/>
    </xf>
    <xf borderId="28" fillId="0" fontId="5" numFmtId="0" xfId="0" applyBorder="1" applyFont="1"/>
    <xf borderId="18" fillId="19" fontId="14" numFmtId="165" xfId="0" applyAlignment="1" applyBorder="1" applyFont="1" applyNumberFormat="1">
      <alignment horizontal="center" shrinkToFit="0" vertical="center" wrapText="1"/>
    </xf>
    <xf borderId="18" fillId="9" fontId="17" numFmtId="0" xfId="0" applyAlignment="1" applyBorder="1" applyFont="1">
      <alignment shrinkToFit="0" vertical="center" wrapText="0"/>
    </xf>
    <xf borderId="0" fillId="18" fontId="1" numFmtId="0" xfId="0" applyAlignment="1" applyFont="1">
      <alignment horizontal="center" shrinkToFit="0" vertical="center" wrapText="1"/>
    </xf>
    <xf borderId="18" fillId="18" fontId="1" numFmtId="0" xfId="0" applyAlignment="1" applyBorder="1" applyFont="1">
      <alignment horizontal="center" shrinkToFit="0" vertical="center" wrapText="1"/>
    </xf>
    <xf borderId="18" fillId="18" fontId="1" numFmtId="0" xfId="0" applyAlignment="1" applyBorder="1" applyFont="1">
      <alignment horizontal="center" shrinkToFit="0" vertical="center" wrapText="1"/>
    </xf>
    <xf borderId="18" fillId="3" fontId="3" numFmtId="0" xfId="0" applyAlignment="1" applyBorder="1" applyFont="1">
      <alignment shrinkToFit="0" vertical="center" wrapText="1"/>
    </xf>
    <xf borderId="18" fillId="0" fontId="3" numFmtId="0" xfId="0" applyAlignment="1" applyBorder="1" applyFont="1">
      <alignment horizontal="center" shrinkToFit="0" vertical="center" wrapText="1"/>
    </xf>
    <xf borderId="18" fillId="0" fontId="3" numFmtId="165" xfId="0" applyAlignment="1" applyBorder="1" applyFont="1" applyNumberFormat="1">
      <alignment horizontal="center" vertical="center"/>
    </xf>
    <xf borderId="18" fillId="3" fontId="3" numFmtId="165" xfId="0" applyAlignment="1" applyBorder="1" applyFont="1" applyNumberFormat="1">
      <alignment horizontal="center" vertical="center"/>
    </xf>
    <xf borderId="18" fillId="3" fontId="18" numFmtId="0" xfId="0" applyAlignment="1" applyBorder="1" applyFont="1">
      <alignment shrinkToFit="0" vertical="center" wrapText="1"/>
    </xf>
    <xf borderId="18" fillId="3" fontId="3" numFmtId="166" xfId="0" applyAlignment="1" applyBorder="1" applyFont="1" applyNumberFormat="1">
      <alignment horizontal="center" vertical="center"/>
    </xf>
    <xf borderId="18" fillId="3" fontId="3" numFmtId="0" xfId="0" applyAlignment="1" applyBorder="1" applyFont="1">
      <alignment shrinkToFit="0" vertical="center" wrapText="1"/>
    </xf>
    <xf borderId="18" fillId="3" fontId="18" numFmtId="0" xfId="0" applyAlignment="1" applyBorder="1" applyFont="1">
      <alignment shrinkToFit="0" vertical="center" wrapText="1"/>
    </xf>
    <xf borderId="18" fillId="3" fontId="19" numFmtId="166" xfId="0" applyAlignment="1" applyBorder="1" applyFont="1" applyNumberFormat="1">
      <alignment horizontal="center" vertical="center"/>
    </xf>
    <xf borderId="0" fillId="9" fontId="17" numFmtId="0" xfId="0" applyAlignment="1" applyFont="1">
      <alignment vertical="center"/>
    </xf>
    <xf borderId="18" fillId="0" fontId="1" numFmtId="165" xfId="0" applyAlignment="1" applyBorder="1" applyFont="1" applyNumberFormat="1">
      <alignment horizontal="center" vertical="center"/>
    </xf>
    <xf borderId="18" fillId="0" fontId="1" numFmtId="165" xfId="0" applyAlignment="1" applyBorder="1" applyFont="1" applyNumberFormat="1">
      <alignment horizontal="center" shrinkToFit="0" vertical="center" wrapText="1"/>
    </xf>
    <xf borderId="18" fillId="0" fontId="1" numFmtId="0" xfId="0" applyAlignment="1" applyBorder="1" applyFont="1">
      <alignment vertical="center"/>
    </xf>
    <xf borderId="18" fillId="0" fontId="1" numFmtId="166" xfId="0" applyAlignment="1" applyBorder="1" applyFont="1" applyNumberFormat="1">
      <alignment horizontal="center" vertical="center"/>
    </xf>
    <xf borderId="18" fillId="0" fontId="20" numFmtId="166" xfId="0" applyAlignment="1" applyBorder="1" applyFont="1" applyNumberFormat="1">
      <alignment horizontal="center" vertical="center"/>
    </xf>
    <xf borderId="18" fillId="7" fontId="21" numFmtId="0" xfId="0" applyAlignment="1" applyBorder="1" applyFont="1">
      <alignment horizontal="center" shrinkToFit="0" vertical="center" wrapText="1"/>
    </xf>
    <xf borderId="18" fillId="7" fontId="1" numFmtId="0" xfId="0" applyAlignment="1" applyBorder="1" applyFont="1">
      <alignment horizontal="center" shrinkToFit="0" vertical="center" wrapText="1"/>
    </xf>
    <xf borderId="18" fillId="0" fontId="13" numFmtId="0" xfId="0" applyAlignment="1" applyBorder="1" applyFont="1">
      <alignment vertical="center"/>
    </xf>
    <xf borderId="18" fillId="0" fontId="13" numFmtId="0" xfId="0" applyAlignment="1" applyBorder="1" applyFont="1">
      <alignment horizontal="center" vertical="center"/>
    </xf>
    <xf borderId="18" fillId="20" fontId="13" numFmtId="165" xfId="0" applyAlignment="1" applyBorder="1" applyFill="1" applyFont="1" applyNumberFormat="1">
      <alignment horizontal="center" vertical="center"/>
    </xf>
    <xf borderId="18" fillId="0" fontId="13" numFmtId="165" xfId="0" applyAlignment="1" applyBorder="1" applyFont="1" applyNumberFormat="1">
      <alignment horizontal="center" shrinkToFit="0" vertical="center" wrapText="1"/>
    </xf>
    <xf borderId="18" fillId="0" fontId="13" numFmtId="0" xfId="0" applyAlignment="1" applyBorder="1" applyFont="1">
      <alignment horizontal="center" shrinkToFit="0" vertical="center" wrapText="1"/>
    </xf>
    <xf borderId="18" fillId="18" fontId="22" numFmtId="0" xfId="0" applyAlignment="1" applyBorder="1" applyFont="1">
      <alignment horizontal="center" shrinkToFit="0" vertical="center" wrapText="1"/>
    </xf>
    <xf borderId="18" fillId="8" fontId="13" numFmtId="0" xfId="0" applyAlignment="1" applyBorder="1" applyFont="1">
      <alignment horizontal="center" shrinkToFit="0" vertical="center" wrapText="1"/>
    </xf>
    <xf borderId="18" fillId="8" fontId="13" numFmtId="0" xfId="0" applyAlignment="1" applyBorder="1" applyFont="1">
      <alignment shrinkToFit="0" vertical="center" wrapText="1"/>
    </xf>
    <xf borderId="18" fillId="8" fontId="13" numFmtId="0" xfId="0" applyAlignment="1" applyBorder="1" applyFont="1">
      <alignment horizontal="center" shrinkToFit="0" vertical="center" wrapText="1"/>
    </xf>
    <xf borderId="18" fillId="8" fontId="13" numFmtId="164" xfId="0" applyAlignment="1" applyBorder="1" applyFont="1" applyNumberFormat="1">
      <alignment horizontal="center" shrinkToFit="0" vertical="center" wrapText="1"/>
    </xf>
    <xf borderId="0" fillId="9" fontId="3" numFmtId="0" xfId="0" applyAlignment="1" applyFont="1">
      <alignment horizontal="right" vertical="center"/>
    </xf>
    <xf borderId="0" fillId="9" fontId="3" numFmtId="0" xfId="0" applyAlignment="1" applyFont="1">
      <alignment vertical="center"/>
    </xf>
    <xf borderId="18" fillId="3" fontId="13" numFmtId="0" xfId="0" applyAlignment="1" applyBorder="1" applyFont="1">
      <alignment horizontal="center" shrinkToFit="0" vertical="center" wrapText="1"/>
    </xf>
    <xf borderId="18" fillId="3" fontId="13" numFmtId="0" xfId="0" applyAlignment="1" applyBorder="1" applyFont="1">
      <alignment shrinkToFit="0" vertical="center" wrapText="1"/>
    </xf>
    <xf borderId="18" fillId="3" fontId="13" numFmtId="0" xfId="0" applyAlignment="1" applyBorder="1" applyFont="1">
      <alignment horizontal="center" shrinkToFit="0" vertical="center" wrapText="1"/>
    </xf>
    <xf borderId="18" fillId="3" fontId="13" numFmtId="164" xfId="0" applyAlignment="1" applyBorder="1" applyFont="1" applyNumberFormat="1">
      <alignment horizontal="center" shrinkToFit="0" vertical="center" wrapText="1"/>
    </xf>
    <xf borderId="18" fillId="0" fontId="13" numFmtId="0" xfId="0" applyAlignment="1" applyBorder="1" applyFont="1">
      <alignment horizontal="center" shrinkToFit="0" vertical="center" wrapText="1"/>
    </xf>
    <xf borderId="22" fillId="0" fontId="13" numFmtId="0" xfId="0" applyAlignment="1" applyBorder="1" applyFont="1">
      <alignment vertical="center"/>
    </xf>
    <xf borderId="22" fillId="0" fontId="13" numFmtId="0" xfId="0" applyAlignment="1" applyBorder="1" applyFont="1">
      <alignment horizontal="center" vertical="center"/>
    </xf>
    <xf borderId="22" fillId="20" fontId="13" numFmtId="165" xfId="0" applyAlignment="1" applyBorder="1" applyFont="1" applyNumberFormat="1">
      <alignment horizontal="center" vertical="center"/>
    </xf>
    <xf borderId="22" fillId="0" fontId="13" numFmtId="165" xfId="0" applyAlignment="1" applyBorder="1" applyFont="1" applyNumberFormat="1">
      <alignment horizontal="center" shrinkToFit="0" vertical="center" wrapText="1"/>
    </xf>
    <xf borderId="22" fillId="0" fontId="13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shrinkToFit="0" vertical="center" wrapText="1"/>
    </xf>
    <xf borderId="15" fillId="0" fontId="13" numFmtId="0" xfId="0" applyAlignment="1" applyBorder="1" applyFont="1">
      <alignment horizontal="center" vertical="center"/>
    </xf>
    <xf borderId="15" fillId="20" fontId="13" numFmtId="167" xfId="0" applyAlignment="1" applyBorder="1" applyFont="1" applyNumberFormat="1">
      <alignment horizontal="center" vertical="center"/>
    </xf>
    <xf borderId="16" fillId="0" fontId="13" numFmtId="165" xfId="0" applyAlignment="1" applyBorder="1" applyFont="1" applyNumberFormat="1">
      <alignment horizontal="center" shrinkToFit="0" vertical="center" wrapText="1"/>
    </xf>
    <xf borderId="32" fillId="9" fontId="3" numFmtId="0" xfId="0" applyAlignment="1" applyBorder="1" applyFont="1">
      <alignment vertical="center"/>
    </xf>
    <xf borderId="15" fillId="0" fontId="13" numFmtId="0" xfId="0" applyAlignment="1" applyBorder="1" applyFont="1">
      <alignment horizontal="center" shrinkToFit="0" vertical="center" wrapText="1"/>
    </xf>
    <xf borderId="0" fillId="9" fontId="3" numFmtId="166" xfId="0" applyAlignment="1" applyFont="1" applyNumberFormat="1">
      <alignment vertical="center"/>
    </xf>
    <xf borderId="19" fillId="19" fontId="22" numFmtId="0" xfId="0" applyAlignment="1" applyBorder="1" applyFont="1">
      <alignment vertical="center"/>
    </xf>
    <xf borderId="18" fillId="20" fontId="22" numFmtId="166" xfId="0" applyAlignment="1" applyBorder="1" applyFont="1" applyNumberFormat="1">
      <alignment horizontal="center" vertical="center"/>
    </xf>
    <xf borderId="33" fillId="9" fontId="3" numFmtId="0" xfId="0" applyAlignment="1" applyBorder="1" applyFont="1">
      <alignment vertical="center"/>
    </xf>
    <xf borderId="34" fillId="0" fontId="5" numFmtId="0" xfId="0" applyBorder="1" applyFont="1"/>
    <xf borderId="18" fillId="9" fontId="3" numFmtId="166" xfId="0" applyAlignment="1" applyBorder="1" applyFont="1" applyNumberFormat="1">
      <alignment vertical="center"/>
    </xf>
    <xf borderId="18" fillId="18" fontId="1" numFmtId="0" xfId="0" applyAlignment="1" applyBorder="1" applyFont="1">
      <alignment horizontal="center" readingOrder="0" shrinkToFit="0" vertical="center" wrapText="1"/>
    </xf>
    <xf borderId="18" fillId="7" fontId="9" numFmtId="0" xfId="0" applyAlignment="1" applyBorder="1" applyFont="1">
      <alignment horizontal="center" vertical="center"/>
    </xf>
    <xf borderId="0" fillId="9" fontId="4" numFmtId="0" xfId="0" applyFont="1"/>
    <xf borderId="18" fillId="0" fontId="3" numFmtId="0" xfId="0" applyAlignment="1" applyBorder="1" applyFont="1">
      <alignment horizontal="center" readingOrder="0" shrinkToFit="0" vertical="center" wrapText="1"/>
    </xf>
    <xf borderId="18" fillId="0" fontId="3" numFmtId="165" xfId="0" applyAlignment="1" applyBorder="1" applyFont="1" applyNumberFormat="1">
      <alignment horizontal="center" readingOrder="0" shrinkToFit="0" vertical="center" wrapText="1"/>
    </xf>
    <xf borderId="18" fillId="0" fontId="3" numFmtId="165" xfId="0" applyAlignment="1" applyBorder="1" applyFont="1" applyNumberFormat="1">
      <alignment horizontal="center" readingOrder="0" vertical="center"/>
    </xf>
    <xf borderId="18" fillId="3" fontId="15" numFmtId="0" xfId="0" applyAlignment="1" applyBorder="1" applyFont="1">
      <alignment shrinkToFit="0" vertical="center" wrapText="1"/>
    </xf>
    <xf borderId="18" fillId="3" fontId="3" numFmtId="166" xfId="0" applyAlignment="1" applyBorder="1" applyFont="1" applyNumberFormat="1">
      <alignment horizontal="center" readingOrder="0" vertical="center"/>
    </xf>
    <xf borderId="18" fillId="3" fontId="2" numFmtId="166" xfId="0" applyAlignment="1" applyBorder="1" applyFont="1" applyNumberFormat="1">
      <alignment horizontal="center" vertical="center"/>
    </xf>
    <xf borderId="18" fillId="3" fontId="3" numFmtId="0" xfId="0" applyAlignment="1" applyBorder="1" applyFont="1">
      <alignment readingOrder="0" shrinkToFit="0" vertical="center" wrapText="1"/>
    </xf>
    <xf borderId="18" fillId="3" fontId="3" numFmtId="165" xfId="0" applyAlignment="1" applyBorder="1" applyFont="1" applyNumberFormat="1">
      <alignment horizontal="center" readingOrder="0" vertical="center"/>
    </xf>
    <xf borderId="18" fillId="3" fontId="15" numFmtId="0" xfId="0" applyAlignment="1" applyBorder="1" applyFont="1">
      <alignment readingOrder="0" shrinkToFit="0" vertical="center" wrapText="1"/>
    </xf>
    <xf borderId="18" fillId="0" fontId="9" numFmtId="0" xfId="0" applyAlignment="1" applyBorder="1" applyFont="1">
      <alignment vertical="center"/>
    </xf>
    <xf borderId="18" fillId="0" fontId="9" numFmtId="166" xfId="0" applyAlignment="1" applyBorder="1" applyFont="1" applyNumberFormat="1">
      <alignment horizontal="center" vertical="center"/>
    </xf>
    <xf borderId="18" fillId="7" fontId="14" numFmtId="0" xfId="0" applyAlignment="1" applyBorder="1" applyFont="1">
      <alignment horizontal="center" shrinkToFit="0" vertical="center" wrapText="1"/>
    </xf>
    <xf borderId="18" fillId="0" fontId="13" numFmtId="0" xfId="0" applyAlignment="1" applyBorder="1" applyFont="1">
      <alignment horizontal="center" readingOrder="0" vertical="center"/>
    </xf>
    <xf borderId="18" fillId="0" fontId="13" numFmtId="165" xfId="0" applyAlignment="1" applyBorder="1" applyFont="1" applyNumberFormat="1">
      <alignment horizontal="center" readingOrder="0" shrinkToFit="0" vertical="center" wrapText="1"/>
    </xf>
    <xf borderId="18" fillId="0" fontId="13" numFmtId="0" xfId="0" applyAlignment="1" applyBorder="1" applyFont="1">
      <alignment horizontal="center" readingOrder="0" shrinkToFit="0" vertical="center" wrapText="1"/>
    </xf>
    <xf borderId="18" fillId="8" fontId="13" numFmtId="0" xfId="0" applyAlignment="1" applyBorder="1" applyFont="1">
      <alignment horizontal="left" readingOrder="0" shrinkToFit="0" vertical="center" wrapText="1"/>
    </xf>
    <xf borderId="18" fillId="8" fontId="13" numFmtId="0" xfId="0" applyAlignment="1" applyBorder="1" applyFont="1">
      <alignment horizontal="center" readingOrder="0" shrinkToFit="0" vertical="center" wrapText="1"/>
    </xf>
    <xf borderId="18" fillId="8" fontId="13" numFmtId="164" xfId="0" applyAlignment="1" applyBorder="1" applyFont="1" applyNumberFormat="1">
      <alignment horizontal="center" readingOrder="0" shrinkToFit="0" vertical="center" wrapText="1"/>
    </xf>
    <xf borderId="18" fillId="8" fontId="8" numFmtId="0" xfId="0" applyAlignment="1" applyBorder="1" applyFont="1">
      <alignment horizontal="center" readingOrder="0" shrinkToFit="0" vertical="center" wrapText="1"/>
    </xf>
    <xf borderId="0" fillId="10" fontId="4" numFmtId="0" xfId="0" applyAlignment="1" applyFont="1">
      <alignment readingOrder="0"/>
    </xf>
    <xf borderId="0" fillId="9" fontId="17" numFmtId="0" xfId="0" applyAlignment="1" applyFont="1">
      <alignment readingOrder="0" vertical="center"/>
    </xf>
    <xf borderId="18" fillId="0" fontId="13" numFmtId="0" xfId="0" applyAlignment="1" applyBorder="1" applyFont="1">
      <alignment horizontal="center" readingOrder="0"/>
    </xf>
    <xf borderId="28" fillId="20" fontId="13" numFmtId="165" xfId="0" applyAlignment="1" applyBorder="1" applyFont="1" applyNumberFormat="1">
      <alignment horizontal="center"/>
    </xf>
    <xf borderId="18" fillId="3" fontId="13" numFmtId="0" xfId="0" applyAlignment="1" applyBorder="1" applyFont="1">
      <alignment horizontal="left" readingOrder="0" shrinkToFit="0" vertical="center" wrapText="1"/>
    </xf>
    <xf borderId="18" fillId="3" fontId="13" numFmtId="0" xfId="0" applyAlignment="1" applyBorder="1" applyFont="1">
      <alignment horizontal="center" readingOrder="0" shrinkToFit="0" vertical="center" wrapText="1"/>
    </xf>
    <xf borderId="18" fillId="3" fontId="13" numFmtId="164" xfId="0" applyAlignment="1" applyBorder="1" applyFont="1" applyNumberFormat="1">
      <alignment horizontal="center" readingOrder="0" shrinkToFit="0" vertical="center" wrapText="1"/>
    </xf>
    <xf borderId="18" fillId="3" fontId="8" numFmtId="0" xfId="0" applyAlignment="1" applyBorder="1" applyFont="1">
      <alignment horizontal="center" readingOrder="0" shrinkToFit="0" vertical="center" wrapText="1"/>
    </xf>
    <xf borderId="18" fillId="0" fontId="8" numFmtId="0" xfId="0" applyAlignment="1" applyBorder="1" applyFont="1">
      <alignment horizontal="center" readingOrder="0" shrinkToFit="0" vertical="center" wrapText="1"/>
    </xf>
    <xf borderId="22" fillId="0" fontId="13" numFmtId="0" xfId="0" applyAlignment="1" applyBorder="1" applyFont="1">
      <alignment horizontal="center" readingOrder="0" vertical="center"/>
    </xf>
    <xf borderId="22" fillId="0" fontId="13" numFmtId="165" xfId="0" applyAlignment="1" applyBorder="1" applyFont="1" applyNumberFormat="1">
      <alignment horizontal="center" readingOrder="0" shrinkToFit="0" vertical="center" wrapText="1"/>
    </xf>
    <xf borderId="22" fillId="0" fontId="13" numFmtId="0" xfId="0" applyAlignment="1" applyBorder="1" applyFont="1">
      <alignment horizontal="center" readingOrder="0" shrinkToFit="0" vertical="center" wrapText="1"/>
    </xf>
    <xf borderId="15" fillId="0" fontId="13" numFmtId="0" xfId="0" applyAlignment="1" applyBorder="1" applyFont="1">
      <alignment readingOrder="0" shrinkToFit="0" vertical="center" wrapText="1"/>
    </xf>
    <xf borderId="15" fillId="0" fontId="13" numFmtId="0" xfId="0" applyAlignment="1" applyBorder="1" applyFont="1">
      <alignment horizontal="center" readingOrder="0" vertical="center"/>
    </xf>
    <xf borderId="15" fillId="20" fontId="13" numFmtId="167" xfId="0" applyAlignment="1" applyBorder="1" applyFont="1" applyNumberFormat="1">
      <alignment horizontal="center" readingOrder="0" vertical="center"/>
    </xf>
    <xf borderId="16" fillId="0" fontId="13" numFmtId="165" xfId="0" applyAlignment="1" applyBorder="1" applyFont="1" applyNumberFormat="1">
      <alignment horizontal="center" readingOrder="0" shrinkToFit="0" vertical="center" wrapText="1"/>
    </xf>
    <xf borderId="32" fillId="10" fontId="13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horizontal="center" readingOrder="0" shrinkToFit="0" vertical="center" wrapText="1"/>
    </xf>
    <xf borderId="18" fillId="20" fontId="13" numFmtId="165" xfId="0" applyAlignment="1" applyBorder="1" applyFont="1" applyNumberFormat="1">
      <alignment horizontal="center" readingOrder="0" vertical="center"/>
    </xf>
    <xf borderId="33" fillId="10" fontId="4" numFmtId="0" xfId="0" applyAlignment="1" applyBorder="1" applyFont="1">
      <alignment vertical="center"/>
    </xf>
    <xf borderId="18" fillId="0" fontId="13" numFmtId="0" xfId="0" applyAlignment="1" applyBorder="1" applyFont="1">
      <alignment horizontal="center"/>
    </xf>
    <xf borderId="28" fillId="0" fontId="13" numFmtId="165" xfId="0" applyAlignment="1" applyBorder="1" applyFont="1" applyNumberFormat="1">
      <alignment horizontal="center" shrinkToFit="0" wrapText="1"/>
    </xf>
    <xf borderId="26" fillId="0" fontId="13" numFmtId="0" xfId="0" applyAlignment="1" applyBorder="1" applyFont="1">
      <alignment horizontal="center" readingOrder="0" shrinkToFit="0" vertical="center" wrapText="1"/>
    </xf>
    <xf borderId="18" fillId="0" fontId="13" numFmtId="0" xfId="0" applyAlignment="1" applyBorder="1" applyFont="1">
      <alignment readingOrder="0" shrinkToFit="0" vertical="center" wrapText="1"/>
    </xf>
    <xf borderId="19" fillId="0" fontId="13" numFmtId="165" xfId="0" applyAlignment="1" applyBorder="1" applyFont="1" applyNumberFormat="1">
      <alignment horizontal="center" readingOrder="0" shrinkToFit="0" vertical="center" wrapText="1"/>
    </xf>
    <xf borderId="27" fillId="10" fontId="13" numFmtId="0" xfId="0" applyAlignment="1" applyBorder="1" applyFont="1">
      <alignment horizontal="center" shrinkToFit="0" vertical="center" wrapText="1"/>
    </xf>
    <xf borderId="18" fillId="3" fontId="3" numFmtId="168" xfId="0" applyAlignment="1" applyBorder="1" applyFont="1" applyNumberFormat="1">
      <alignment horizontal="center" readingOrder="0" vertical="center"/>
    </xf>
    <xf borderId="18" fillId="3" fontId="2" numFmtId="168" xfId="0" applyAlignment="1" applyBorder="1" applyFont="1" applyNumberFormat="1">
      <alignment horizontal="center" vertical="center"/>
    </xf>
    <xf borderId="18" fillId="3" fontId="3" numFmtId="168" xfId="0" applyAlignment="1" applyBorder="1" applyFont="1" applyNumberFormat="1">
      <alignment horizontal="center" vertical="center"/>
    </xf>
    <xf borderId="18" fillId="0" fontId="9" numFmtId="168" xfId="0" applyAlignment="1" applyBorder="1" applyFont="1" applyNumberFormat="1">
      <alignment horizontal="center" vertical="center"/>
    </xf>
    <xf borderId="18" fillId="0" fontId="20" numFmtId="168" xfId="0" applyAlignment="1" applyBorder="1" applyFont="1" applyNumberFormat="1">
      <alignment horizontal="center" vertical="center"/>
    </xf>
    <xf borderId="18" fillId="0" fontId="13" numFmtId="164" xfId="0" applyAlignment="1" applyBorder="1" applyFont="1" applyNumberFormat="1">
      <alignment horizontal="center" readingOrder="0" shrinkToFit="0" vertical="center" wrapText="1"/>
    </xf>
    <xf borderId="15" fillId="0" fontId="13" numFmtId="0" xfId="0" applyAlignment="1" applyBorder="1" applyFont="1">
      <alignment horizontal="center" shrinkToFit="0" vertical="center" wrapText="1"/>
    </xf>
    <xf borderId="0" fillId="10" fontId="23" numFmtId="0" xfId="0" applyAlignment="1" applyFont="1">
      <alignment readingOrder="0"/>
    </xf>
    <xf borderId="18" fillId="0" fontId="3" numFmtId="0" xfId="0" applyAlignment="1" applyBorder="1" applyFont="1">
      <alignment horizontal="center" shrinkToFit="0" vertical="center" wrapText="1"/>
    </xf>
    <xf borderId="18" fillId="0" fontId="13" numFmtId="0" xfId="0" applyAlignment="1" applyBorder="1" applyFont="1">
      <alignment horizontal="center" vertical="center"/>
    </xf>
    <xf borderId="18" fillId="8" fontId="13" numFmtId="0" xfId="0" applyAlignment="1" applyBorder="1" applyFont="1">
      <alignment horizontal="left" shrinkToFit="0" vertical="center" wrapText="1"/>
    </xf>
    <xf borderId="18" fillId="8" fontId="8" numFmtId="0" xfId="0" applyAlignment="1" applyBorder="1" applyFont="1">
      <alignment horizontal="center" shrinkToFit="0" vertical="center" wrapText="1"/>
    </xf>
    <xf borderId="18" fillId="3" fontId="13" numFmtId="0" xfId="0" applyAlignment="1" applyBorder="1" applyFont="1">
      <alignment horizontal="left" shrinkToFit="0" vertical="center" wrapText="1"/>
    </xf>
    <xf borderId="18" fillId="3" fontId="8" numFmtId="0" xfId="0" applyAlignment="1" applyBorder="1" applyFont="1">
      <alignment horizontal="center" shrinkToFit="0" vertical="center" wrapText="1"/>
    </xf>
    <xf borderId="18" fillId="0" fontId="13" numFmtId="164" xfId="0" applyAlignment="1" applyBorder="1" applyFont="1" applyNumberFormat="1">
      <alignment horizontal="center" shrinkToFit="0" vertical="center" wrapText="1"/>
    </xf>
    <xf borderId="18" fillId="0" fontId="8" numFmtId="0" xfId="0" applyAlignment="1" applyBorder="1" applyFont="1">
      <alignment horizontal="center" shrinkToFit="0" vertical="center" wrapText="1"/>
    </xf>
    <xf borderId="18" fillId="0" fontId="13" numFmtId="0" xfId="0" applyAlignment="1" applyBorder="1" applyFont="1">
      <alignment shrinkToFit="0" vertical="center" wrapText="1"/>
    </xf>
    <xf borderId="18" fillId="10" fontId="13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vertical="center"/>
    </xf>
    <xf borderId="0" fillId="9" fontId="24" numFmtId="0" xfId="0" applyAlignment="1" applyFont="1">
      <alignment horizontal="center" vertical="center"/>
    </xf>
    <xf borderId="1" fillId="7" fontId="9" numFmtId="0" xfId="0" applyAlignment="1" applyBorder="1" applyFont="1">
      <alignment horizontal="center" vertical="center"/>
    </xf>
    <xf borderId="11" fillId="7" fontId="9" numFmtId="0" xfId="0" applyAlignment="1" applyBorder="1" applyFont="1">
      <alignment horizontal="center" vertical="center"/>
    </xf>
    <xf borderId="2" fillId="7" fontId="9" numFmtId="0" xfId="0" applyAlignment="1" applyBorder="1" applyFont="1">
      <alignment horizontal="center" vertical="center"/>
    </xf>
    <xf borderId="0" fillId="9" fontId="25" numFmtId="0" xfId="0" applyAlignment="1" applyFont="1">
      <alignment horizontal="left" vertical="center"/>
    </xf>
    <xf borderId="3" fillId="3" fontId="18" numFmtId="0" xfId="0" applyAlignment="1" applyBorder="1" applyFont="1">
      <alignment readingOrder="0" shrinkToFit="0" vertical="center" wrapText="1"/>
    </xf>
    <xf borderId="34" fillId="3" fontId="3" numFmtId="168" xfId="0" applyAlignment="1" applyBorder="1" applyFont="1" applyNumberFormat="1">
      <alignment horizontal="center" readingOrder="0" vertical="center"/>
    </xf>
    <xf borderId="4" fillId="3" fontId="2" numFmtId="168" xfId="0" applyAlignment="1" applyBorder="1" applyFont="1" applyNumberFormat="1">
      <alignment horizontal="center" vertical="center"/>
    </xf>
    <xf borderId="26" fillId="0" fontId="3" numFmtId="165" xfId="0" applyAlignment="1" applyBorder="1" applyFont="1" applyNumberFormat="1">
      <alignment horizontal="center" shrinkToFit="0" vertical="center" wrapText="1"/>
    </xf>
    <xf borderId="26" fillId="0" fontId="3" numFmtId="165" xfId="0" applyAlignment="1" applyBorder="1" applyFont="1" applyNumberFormat="1">
      <alignment horizontal="center" readingOrder="0" shrinkToFit="0" vertical="center" wrapText="1"/>
    </xf>
    <xf borderId="26" fillId="3" fontId="3" numFmtId="165" xfId="0" applyAlignment="1" applyBorder="1" applyFont="1" applyNumberFormat="1">
      <alignment horizontal="center" vertical="center"/>
    </xf>
    <xf borderId="5" fillId="3" fontId="18" numFmtId="0" xfId="0" applyAlignment="1" applyBorder="1" applyFont="1">
      <alignment readingOrder="0" shrinkToFit="0" vertical="center" wrapText="1"/>
    </xf>
    <xf borderId="35" fillId="3" fontId="3" numFmtId="168" xfId="0" applyAlignment="1" applyBorder="1" applyFont="1" applyNumberFormat="1">
      <alignment horizontal="center" readingOrder="0" vertical="center"/>
    </xf>
    <xf borderId="19" fillId="9" fontId="3" numFmtId="0" xfId="0" applyAlignment="1" applyBorder="1" applyFont="1">
      <alignment vertical="center"/>
    </xf>
    <xf borderId="1" fillId="0" fontId="1" numFmtId="165" xfId="0" applyAlignment="1" applyBorder="1" applyFont="1" applyNumberFormat="1">
      <alignment horizontal="center" vertical="center"/>
    </xf>
    <xf borderId="12" fillId="0" fontId="1" numFmtId="165" xfId="0" applyAlignment="1" applyBorder="1" applyFont="1" applyNumberFormat="1">
      <alignment horizontal="center" vertical="center"/>
    </xf>
    <xf borderId="14" fillId="0" fontId="1" numFmtId="165" xfId="0" applyAlignment="1" applyBorder="1" applyFont="1" applyNumberFormat="1">
      <alignment horizontal="center" vertical="center"/>
    </xf>
    <xf borderId="28" fillId="9" fontId="3" numFmtId="0" xfId="0" applyAlignment="1" applyBorder="1" applyFont="1">
      <alignment vertical="center"/>
    </xf>
    <xf borderId="5" fillId="0" fontId="9" numFmtId="0" xfId="0" applyAlignment="1" applyBorder="1" applyFont="1">
      <alignment vertical="center"/>
    </xf>
    <xf borderId="35" fillId="0" fontId="9" numFmtId="168" xfId="0" applyAlignment="1" applyBorder="1" applyFont="1" applyNumberFormat="1">
      <alignment horizontal="center" vertical="center"/>
    </xf>
    <xf borderId="6" fillId="0" fontId="20" numFmtId="168" xfId="0" applyAlignment="1" applyBorder="1" applyFont="1" applyNumberFormat="1">
      <alignment horizontal="center" vertical="center"/>
    </xf>
    <xf borderId="36" fillId="9" fontId="26" numFmtId="0" xfId="0" applyAlignment="1" applyBorder="1" applyFont="1">
      <alignment horizontal="center" shrinkToFit="0" vertical="center" wrapText="1"/>
    </xf>
    <xf borderId="30" fillId="9" fontId="26" numFmtId="0" xfId="0" applyAlignment="1" applyBorder="1" applyFont="1">
      <alignment horizontal="center" shrinkToFit="0" vertical="center" wrapText="1"/>
    </xf>
    <xf borderId="30" fillId="9" fontId="26" numFmtId="0" xfId="0" applyAlignment="1" applyBorder="1" applyFont="1">
      <alignment horizontal="center" readingOrder="0" shrinkToFit="0" vertical="center" wrapText="1"/>
    </xf>
    <xf borderId="31" fillId="9" fontId="26" numFmtId="0" xfId="0" applyAlignment="1" applyBorder="1" applyFont="1">
      <alignment horizontal="center" shrinkToFit="0" vertical="center" wrapText="1"/>
    </xf>
    <xf borderId="0" fillId="9" fontId="26" numFmtId="0" xfId="0" applyAlignment="1" applyFont="1">
      <alignment horizontal="center" shrinkToFit="0" vertical="center" wrapText="1"/>
    </xf>
    <xf borderId="0" fillId="9" fontId="24" numFmtId="0" xfId="0" applyAlignment="1" applyFont="1">
      <alignment vertical="center"/>
    </xf>
    <xf borderId="1" fillId="7" fontId="26" numFmtId="0" xfId="0" applyAlignment="1" applyBorder="1" applyFont="1">
      <alignment horizontal="center" shrinkToFit="0" vertical="center" wrapText="1"/>
    </xf>
    <xf borderId="12" fillId="7" fontId="27" numFmtId="0" xfId="0" applyAlignment="1" applyBorder="1" applyFont="1">
      <alignment horizontal="center" vertical="center"/>
    </xf>
    <xf borderId="14" fillId="7" fontId="27" numFmtId="0" xfId="0" applyAlignment="1" applyBorder="1" applyFont="1">
      <alignment horizontal="center" vertical="center"/>
    </xf>
    <xf borderId="37" fillId="0" fontId="13" numFmtId="0" xfId="0" applyAlignment="1" applyBorder="1" applyFont="1">
      <alignment vertical="center"/>
    </xf>
    <xf borderId="38" fillId="0" fontId="13" numFmtId="0" xfId="0" applyAlignment="1" applyBorder="1" applyFont="1">
      <alignment horizontal="center" readingOrder="0" vertical="center"/>
    </xf>
    <xf borderId="38" fillId="0" fontId="13" numFmtId="165" xfId="0" applyAlignment="1" applyBorder="1" applyFont="1" applyNumberFormat="1">
      <alignment horizontal="center" readingOrder="0" vertical="center"/>
    </xf>
    <xf borderId="38" fillId="0" fontId="13" numFmtId="165" xfId="0" applyAlignment="1" applyBorder="1" applyFont="1" applyNumberFormat="1">
      <alignment horizontal="center" readingOrder="0" shrinkToFit="0" vertical="center" wrapText="1"/>
    </xf>
    <xf borderId="39" fillId="0" fontId="13" numFmtId="0" xfId="0" applyAlignment="1" applyBorder="1" applyFont="1">
      <alignment horizontal="center" readingOrder="0" shrinkToFit="0" vertical="center" wrapText="1"/>
    </xf>
    <xf borderId="0" fillId="9" fontId="24" numFmtId="0" xfId="0" applyAlignment="1" applyFont="1">
      <alignment readingOrder="0" vertical="center"/>
    </xf>
    <xf borderId="20" fillId="0" fontId="13" numFmtId="0" xfId="0" applyAlignment="1" applyBorder="1" applyFont="1">
      <alignment vertical="center"/>
    </xf>
    <xf borderId="18" fillId="0" fontId="13" numFmtId="165" xfId="0" applyAlignment="1" applyBorder="1" applyFont="1" applyNumberFormat="1">
      <alignment horizontal="center" readingOrder="0" vertical="center"/>
    </xf>
    <xf borderId="21" fillId="0" fontId="13" numFmtId="0" xfId="0" applyAlignment="1" applyBorder="1" applyFont="1">
      <alignment horizontal="center" readingOrder="0" shrinkToFit="0" vertical="center" wrapText="1"/>
    </xf>
    <xf borderId="40" fillId="18" fontId="22" numFmtId="0" xfId="0" applyAlignment="1" applyBorder="1" applyFont="1">
      <alignment horizontal="center" shrinkToFit="0" vertical="center" wrapText="1"/>
    </xf>
    <xf borderId="1" fillId="18" fontId="22" numFmtId="0" xfId="0" applyAlignment="1" applyBorder="1" applyFont="1">
      <alignment shrinkToFit="0" vertical="center" wrapText="1"/>
    </xf>
    <xf borderId="41" fillId="18" fontId="22" numFmtId="0" xfId="0" applyAlignment="1" applyBorder="1" applyFont="1">
      <alignment horizontal="center" shrinkToFit="0" vertical="center" wrapText="1"/>
    </xf>
    <xf borderId="14" fillId="18" fontId="22" numFmtId="0" xfId="0" applyAlignment="1" applyBorder="1" applyFont="1">
      <alignment horizontal="center" shrinkToFit="0" vertical="bottom" wrapText="1"/>
    </xf>
    <xf borderId="37" fillId="8" fontId="13" numFmtId="0" xfId="0" applyAlignment="1" applyBorder="1" applyFont="1">
      <alignment horizontal="center" vertical="center"/>
    </xf>
    <xf borderId="3" fillId="8" fontId="13" numFmtId="0" xfId="0" applyAlignment="1" applyBorder="1" applyFont="1">
      <alignment readingOrder="0" vertical="center"/>
    </xf>
    <xf borderId="38" fillId="8" fontId="13" numFmtId="0" xfId="0" applyAlignment="1" applyBorder="1" applyFont="1">
      <alignment horizontal="center" readingOrder="0" vertical="center"/>
    </xf>
    <xf borderId="38" fillId="8" fontId="13" numFmtId="164" xfId="0" applyAlignment="1" applyBorder="1" applyFont="1" applyNumberFormat="1">
      <alignment horizontal="center" readingOrder="0" vertical="center"/>
    </xf>
    <xf borderId="38" fillId="8" fontId="8" numFmtId="0" xfId="0" applyAlignment="1" applyBorder="1" applyFont="1">
      <alignment horizontal="center" readingOrder="0" vertical="center"/>
    </xf>
    <xf borderId="17" fillId="8" fontId="13" numFmtId="0" xfId="0" applyAlignment="1" applyBorder="1" applyFont="1">
      <alignment horizontal="center"/>
    </xf>
    <xf borderId="20" fillId="8" fontId="13" numFmtId="0" xfId="0" applyAlignment="1" applyBorder="1" applyFont="1">
      <alignment horizontal="center" vertical="center"/>
    </xf>
    <xf borderId="42" fillId="8" fontId="13" numFmtId="0" xfId="0" applyAlignment="1" applyBorder="1" applyFont="1">
      <alignment readingOrder="0" vertical="center"/>
    </xf>
    <xf borderId="43" fillId="8" fontId="13" numFmtId="0" xfId="0" applyAlignment="1" applyBorder="1" applyFont="1">
      <alignment horizontal="center" readingOrder="0" vertical="center"/>
    </xf>
    <xf borderId="18" fillId="8" fontId="13" numFmtId="164" xfId="0" applyAlignment="1" applyBorder="1" applyFont="1" applyNumberFormat="1">
      <alignment horizontal="center" readingOrder="0" vertical="center"/>
    </xf>
    <xf borderId="18" fillId="8" fontId="8" numFmtId="0" xfId="0" applyAlignment="1" applyBorder="1" applyFont="1">
      <alignment horizontal="center" readingOrder="0" vertical="center"/>
    </xf>
    <xf borderId="21" fillId="8" fontId="13" numFmtId="0" xfId="0" applyAlignment="1" applyBorder="1" applyFont="1">
      <alignment horizontal="center"/>
    </xf>
    <xf borderId="43" fillId="8" fontId="13" numFmtId="164" xfId="0" applyAlignment="1" applyBorder="1" applyFont="1" applyNumberFormat="1">
      <alignment horizontal="center" readingOrder="0" vertical="center"/>
    </xf>
    <xf borderId="43" fillId="8" fontId="8" numFmtId="0" xfId="0" applyAlignment="1" applyBorder="1" applyFont="1">
      <alignment horizontal="center" readingOrder="0" vertical="center"/>
    </xf>
    <xf borderId="42" fillId="8" fontId="13" numFmtId="0" xfId="0" applyAlignment="1" applyBorder="1" applyFont="1">
      <alignment horizontal="center" vertical="center"/>
    </xf>
    <xf borderId="15" fillId="8" fontId="13" numFmtId="0" xfId="0" applyAlignment="1" applyBorder="1" applyFont="1">
      <alignment horizontal="center" readingOrder="0" vertical="center"/>
    </xf>
    <xf borderId="24" fillId="8" fontId="13" numFmtId="0" xfId="0" applyAlignment="1" applyBorder="1" applyFont="1">
      <alignment horizontal="center" vertical="center"/>
    </xf>
    <xf borderId="44" fillId="8" fontId="13" numFmtId="0" xfId="0" applyAlignment="1" applyBorder="1" applyFont="1">
      <alignment readingOrder="0" vertical="center"/>
    </xf>
    <xf borderId="45" fillId="8" fontId="13" numFmtId="0" xfId="0" applyAlignment="1" applyBorder="1" applyFont="1">
      <alignment horizontal="center" readingOrder="0" vertical="center"/>
    </xf>
    <xf borderId="22" fillId="8" fontId="13" numFmtId="164" xfId="0" applyAlignment="1" applyBorder="1" applyFont="1" applyNumberFormat="1">
      <alignment horizontal="center" readingOrder="0" vertical="center"/>
    </xf>
    <xf borderId="22" fillId="8" fontId="8" numFmtId="0" xfId="0" applyAlignment="1" applyBorder="1" applyFont="1">
      <alignment horizontal="center" readingOrder="0" vertical="center"/>
    </xf>
    <xf borderId="25" fillId="8" fontId="13" numFmtId="0" xfId="0" applyAlignment="1" applyBorder="1" applyFont="1">
      <alignment horizontal="center"/>
    </xf>
    <xf borderId="24" fillId="0" fontId="13" numFmtId="0" xfId="0" applyAlignment="1" applyBorder="1" applyFont="1">
      <alignment vertical="center"/>
    </xf>
    <xf borderId="22" fillId="0" fontId="13" numFmtId="165" xfId="0" applyAlignment="1" applyBorder="1" applyFont="1" applyNumberFormat="1">
      <alignment horizontal="center" readingOrder="0" vertical="center"/>
    </xf>
    <xf borderId="25" fillId="0" fontId="13" numFmtId="0" xfId="0" applyAlignment="1" applyBorder="1" applyFont="1">
      <alignment horizontal="center" readingOrder="0" shrinkToFit="0" vertical="center" wrapText="1"/>
    </xf>
    <xf borderId="42" fillId="3" fontId="13" numFmtId="0" xfId="0" applyAlignment="1" applyBorder="1" applyFont="1">
      <alignment horizontal="center" vertical="center"/>
    </xf>
    <xf borderId="20" fillId="3" fontId="13" numFmtId="0" xfId="0" applyAlignment="1" applyBorder="1" applyFont="1">
      <alignment readingOrder="0" vertical="center"/>
    </xf>
    <xf borderId="43" fillId="3" fontId="13" numFmtId="0" xfId="0" applyAlignment="1" applyBorder="1" applyFont="1">
      <alignment horizontal="center" readingOrder="0" vertical="center"/>
    </xf>
    <xf borderId="18" fillId="3" fontId="13" numFmtId="0" xfId="0" applyAlignment="1" applyBorder="1" applyFont="1">
      <alignment horizontal="center" readingOrder="0" vertical="center"/>
    </xf>
    <xf borderId="18" fillId="3" fontId="13" numFmtId="164" xfId="0" applyAlignment="1" applyBorder="1" applyFont="1" applyNumberFormat="1">
      <alignment horizontal="center" readingOrder="0" vertical="center"/>
    </xf>
    <xf borderId="15" fillId="3" fontId="8" numFmtId="0" xfId="0" applyAlignment="1" applyBorder="1" applyFont="1">
      <alignment horizontal="center" readingOrder="0" vertical="center"/>
    </xf>
    <xf borderId="15" fillId="3" fontId="13" numFmtId="0" xfId="0" applyAlignment="1" applyBorder="1" applyFont="1">
      <alignment horizontal="center" readingOrder="0" vertical="center"/>
    </xf>
    <xf borderId="17" fillId="3" fontId="13" numFmtId="0" xfId="0" applyAlignment="1" applyBorder="1" applyFont="1">
      <alignment horizontal="center"/>
    </xf>
    <xf borderId="37" fillId="0" fontId="13" numFmtId="0" xfId="0" applyAlignment="1" applyBorder="1" applyFont="1">
      <alignment shrinkToFit="0" vertical="center" wrapText="1"/>
    </xf>
    <xf borderId="20" fillId="3" fontId="13" numFmtId="0" xfId="0" applyAlignment="1" applyBorder="1" applyFont="1">
      <alignment horizontal="center" vertical="center"/>
    </xf>
    <xf borderId="3" fillId="3" fontId="13" numFmtId="0" xfId="0" applyAlignment="1" applyBorder="1" applyFont="1">
      <alignment readingOrder="0" vertical="center"/>
    </xf>
    <xf borderId="15" fillId="3" fontId="13" numFmtId="164" xfId="0" applyAlignment="1" applyBorder="1" applyFont="1" applyNumberFormat="1">
      <alignment horizontal="center" readingOrder="0" vertical="center"/>
    </xf>
    <xf borderId="21" fillId="3" fontId="13" numFmtId="0" xfId="0" applyAlignment="1" applyBorder="1" applyFont="1">
      <alignment horizontal="center"/>
    </xf>
    <xf borderId="0" fillId="9" fontId="24" numFmtId="166" xfId="0" applyAlignment="1" applyFont="1" applyNumberFormat="1">
      <alignment vertical="center"/>
    </xf>
    <xf borderId="20" fillId="0" fontId="13" numFmtId="0" xfId="0" applyAlignment="1" applyBorder="1" applyFont="1">
      <alignment horizontal="center" vertical="center"/>
    </xf>
    <xf borderId="43" fillId="0" fontId="13" numFmtId="0" xfId="0" applyAlignment="1" applyBorder="1" applyFont="1">
      <alignment horizontal="center" readingOrder="0" vertical="center"/>
    </xf>
    <xf borderId="43" fillId="0" fontId="13" numFmtId="164" xfId="0" applyAlignment="1" applyBorder="1" applyFont="1" applyNumberFormat="1">
      <alignment horizontal="center" readingOrder="0" vertical="center"/>
    </xf>
    <xf borderId="43" fillId="0" fontId="8" numFmtId="0" xfId="0" applyAlignment="1" applyBorder="1" applyFont="1">
      <alignment horizontal="center" readingOrder="0" vertical="center"/>
    </xf>
    <xf borderId="46" fillId="0" fontId="13" numFmtId="0" xfId="0" applyAlignment="1" applyBorder="1" applyFont="1">
      <alignment vertical="center"/>
    </xf>
    <xf borderId="26" fillId="0" fontId="13" numFmtId="0" xfId="0" applyAlignment="1" applyBorder="1" applyFont="1">
      <alignment horizontal="center" readingOrder="0" vertical="center"/>
    </xf>
    <xf borderId="26" fillId="0" fontId="13" numFmtId="165" xfId="0" applyAlignment="1" applyBorder="1" applyFont="1" applyNumberFormat="1">
      <alignment horizontal="center" readingOrder="0" vertical="center"/>
    </xf>
    <xf borderId="47" fillId="0" fontId="13" numFmtId="0" xfId="0" applyAlignment="1" applyBorder="1" applyFont="1">
      <alignment horizontal="center" readingOrder="0" shrinkToFit="0" vertical="center" wrapText="1"/>
    </xf>
    <xf borderId="24" fillId="0" fontId="13" numFmtId="0" xfId="0" applyAlignment="1" applyBorder="1" applyFont="1">
      <alignment horizontal="center" vertical="center"/>
    </xf>
    <xf borderId="24" fillId="3" fontId="13" numFmtId="0" xfId="0" applyAlignment="1" applyBorder="1" applyFont="1">
      <alignment readingOrder="0" vertical="center"/>
    </xf>
    <xf borderId="22" fillId="3" fontId="13" numFmtId="0" xfId="0" applyAlignment="1" applyBorder="1" applyFont="1">
      <alignment horizontal="center" readingOrder="0" vertical="center"/>
    </xf>
    <xf borderId="22" fillId="3" fontId="13" numFmtId="164" xfId="0" applyAlignment="1" applyBorder="1" applyFont="1" applyNumberFormat="1">
      <alignment horizontal="center" readingOrder="0" vertical="center"/>
    </xf>
    <xf borderId="25" fillId="3" fontId="13" numFmtId="0" xfId="0" applyAlignment="1" applyBorder="1" applyFont="1">
      <alignment horizontal="center"/>
    </xf>
    <xf borderId="9" fillId="19" fontId="22" numFmtId="0" xfId="0" applyAlignment="1" applyBorder="1" applyFont="1">
      <alignment vertical="center"/>
    </xf>
    <xf borderId="11" fillId="19" fontId="22" numFmtId="166" xfId="0" applyAlignment="1" applyBorder="1" applyFont="1" applyNumberFormat="1">
      <alignment horizontal="center" vertical="center"/>
    </xf>
    <xf borderId="12" fillId="9" fontId="12" numFmtId="0" xfId="0" applyAlignment="1" applyBorder="1" applyFont="1">
      <alignment vertical="center"/>
    </xf>
    <xf borderId="14" fillId="9" fontId="27" numFmtId="0" xfId="0" applyAlignment="1" applyBorder="1" applyFont="1">
      <alignment vertical="center"/>
    </xf>
    <xf borderId="9" fillId="9" fontId="22" numFmtId="0" xfId="0" applyAlignment="1" applyBorder="1" applyFont="1">
      <alignment vertical="center"/>
    </xf>
    <xf borderId="11" fillId="9" fontId="22" numFmtId="166" xfId="0" applyAlignment="1" applyBorder="1" applyFont="1" applyNumberFormat="1">
      <alignment horizontal="center" vertical="center"/>
    </xf>
    <xf borderId="48" fillId="9" fontId="24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horizontal="center" shrinkToFit="0" vertical="center" wrapText="1"/>
    </xf>
    <xf borderId="48" fillId="9" fontId="24" numFmtId="0" xfId="0" applyAlignment="1" applyBorder="1" applyFont="1">
      <alignment vertical="center"/>
    </xf>
    <xf borderId="0" fillId="0" fontId="24" numFmtId="0" xfId="0" applyFont="1"/>
    <xf borderId="0" fillId="0" fontId="24" numFmtId="0" xfId="0" applyAlignment="1" applyFont="1">
      <alignment horizontal="center"/>
    </xf>
    <xf borderId="1" fillId="18" fontId="26" numFmtId="0" xfId="0" applyAlignment="1" applyBorder="1" applyFont="1">
      <alignment horizontal="center" shrinkToFit="0" vertical="center" wrapText="1"/>
    </xf>
    <xf borderId="12" fillId="18" fontId="26" numFmtId="0" xfId="0" applyAlignment="1" applyBorder="1" applyFont="1">
      <alignment horizontal="center" shrinkToFit="0" vertical="center" wrapText="1"/>
    </xf>
    <xf borderId="49" fillId="18" fontId="26" numFmtId="0" xfId="0" applyAlignment="1" applyBorder="1" applyFont="1">
      <alignment horizontal="center" shrinkToFit="0" vertical="center" wrapText="1"/>
    </xf>
    <xf borderId="50" fillId="18" fontId="26" numFmtId="0" xfId="0" applyAlignment="1" applyBorder="1" applyFont="1">
      <alignment horizontal="center" shrinkToFit="0" vertical="center" wrapText="1"/>
    </xf>
    <xf borderId="1" fillId="7" fontId="9" numFmtId="0" xfId="0" applyAlignment="1" applyBorder="1" applyFont="1">
      <alignment horizontal="center"/>
    </xf>
    <xf borderId="11" fillId="7" fontId="9" numFmtId="0" xfId="0" applyAlignment="1" applyBorder="1" applyFont="1">
      <alignment horizontal="center"/>
    </xf>
    <xf borderId="2" fillId="7" fontId="9" numFmtId="0" xfId="0" applyAlignment="1" applyBorder="1" applyFont="1">
      <alignment horizontal="center"/>
    </xf>
    <xf borderId="37" fillId="3" fontId="28" numFmtId="0" xfId="0" applyAlignment="1" applyBorder="1" applyFont="1">
      <alignment horizontal="center" shrinkToFit="0" vertical="center" wrapText="1"/>
    </xf>
    <xf borderId="38" fillId="0" fontId="28" numFmtId="0" xfId="0" applyAlignment="1" applyBorder="1" applyFont="1">
      <alignment horizontal="center" readingOrder="0" shrinkToFit="0" vertical="center" wrapText="1"/>
    </xf>
    <xf borderId="38" fillId="0" fontId="28" numFmtId="165" xfId="0" applyAlignment="1" applyBorder="1" applyFont="1" applyNumberFormat="1">
      <alignment horizontal="center" shrinkToFit="0" vertical="center" wrapText="1"/>
    </xf>
    <xf borderId="18" fillId="0" fontId="28" numFmtId="165" xfId="0" applyAlignment="1" applyBorder="1" applyFont="1" applyNumberFormat="1">
      <alignment horizontal="center" readingOrder="0" shrinkToFit="0" vertical="center" wrapText="1"/>
    </xf>
    <xf borderId="51" fillId="0" fontId="28" numFmtId="165" xfId="0" applyAlignment="1" applyBorder="1" applyFont="1" applyNumberFormat="1">
      <alignment horizontal="center" shrinkToFit="0" vertical="center" wrapText="1"/>
    </xf>
    <xf borderId="51" fillId="3" fontId="28" numFmtId="165" xfId="0" applyAlignment="1" applyBorder="1" applyFont="1" applyNumberFormat="1">
      <alignment horizontal="center" readingOrder="0" shrinkToFit="0" vertical="center" wrapText="1"/>
    </xf>
    <xf borderId="0" fillId="0" fontId="25" numFmtId="0" xfId="0" applyAlignment="1" applyFont="1">
      <alignment horizontal="left" vertical="center"/>
    </xf>
    <xf borderId="3" fillId="3" fontId="18" numFmtId="0" xfId="0" applyAlignment="1" applyBorder="1" applyFont="1">
      <alignment readingOrder="0" shrinkToFit="0" wrapText="1"/>
    </xf>
    <xf borderId="34" fillId="3" fontId="3" numFmtId="166" xfId="0" applyAlignment="1" applyBorder="1" applyFont="1" applyNumberFormat="1">
      <alignment horizontal="center" readingOrder="0"/>
    </xf>
    <xf borderId="4" fillId="3" fontId="2" numFmtId="166" xfId="0" applyAlignment="1" applyBorder="1" applyFont="1" applyNumberFormat="1">
      <alignment horizontal="center"/>
    </xf>
    <xf borderId="20" fillId="3" fontId="28" numFmtId="0" xfId="0" applyAlignment="1" applyBorder="1" applyFont="1">
      <alignment horizontal="center" shrinkToFit="0" vertical="center" wrapText="1"/>
    </xf>
    <xf borderId="18" fillId="0" fontId="28" numFmtId="0" xfId="0" applyAlignment="1" applyBorder="1" applyFont="1">
      <alignment horizontal="center" readingOrder="0" shrinkToFit="0" vertical="center" wrapText="1"/>
    </xf>
    <xf borderId="15" fillId="0" fontId="28" numFmtId="165" xfId="0" applyAlignment="1" applyBorder="1" applyFont="1" applyNumberFormat="1">
      <alignment horizontal="center" shrinkToFit="0" vertical="center" wrapText="1"/>
    </xf>
    <xf borderId="19" fillId="0" fontId="28" numFmtId="165" xfId="0" applyAlignment="1" applyBorder="1" applyFont="1" applyNumberFormat="1">
      <alignment horizontal="center" readingOrder="0" shrinkToFit="0" vertical="center" wrapText="1"/>
    </xf>
    <xf borderId="52" fillId="0" fontId="28" numFmtId="165" xfId="0" applyAlignment="1" applyBorder="1" applyFont="1" applyNumberFormat="1">
      <alignment horizontal="center" shrinkToFit="0" vertical="center" wrapText="1"/>
    </xf>
    <xf borderId="53" fillId="3" fontId="28" numFmtId="165" xfId="0" applyAlignment="1" applyBorder="1" applyFont="1" applyNumberFormat="1">
      <alignment horizontal="center" readingOrder="0" shrinkToFit="0" vertical="center" wrapText="1"/>
    </xf>
    <xf borderId="0" fillId="0" fontId="24" numFmtId="165" xfId="0" applyFont="1" applyNumberFormat="1"/>
    <xf borderId="4" fillId="3" fontId="19" numFmtId="166" xfId="0" applyAlignment="1" applyBorder="1" applyFont="1" applyNumberFormat="1">
      <alignment horizontal="center"/>
    </xf>
    <xf borderId="20" fillId="3" fontId="28" numFmtId="0" xfId="0" applyAlignment="1" applyBorder="1" applyFont="1">
      <alignment horizontal="center" readingOrder="0" shrinkToFit="0" vertical="center" wrapText="1"/>
    </xf>
    <xf borderId="24" fillId="3" fontId="28" numFmtId="0" xfId="0" applyAlignment="1" applyBorder="1" applyFont="1">
      <alignment horizontal="center" shrinkToFit="0" vertical="center" wrapText="1"/>
    </xf>
    <xf borderId="22" fillId="0" fontId="28" numFmtId="0" xfId="0" applyAlignment="1" applyBorder="1" applyFont="1">
      <alignment horizontal="center" readingOrder="0" shrinkToFit="0" vertical="center" wrapText="1"/>
    </xf>
    <xf borderId="22" fillId="0" fontId="28" numFmtId="165" xfId="0" applyAlignment="1" applyBorder="1" applyFont="1" applyNumberFormat="1">
      <alignment horizontal="center" shrinkToFit="0" vertical="center" wrapText="1"/>
    </xf>
    <xf borderId="22" fillId="0" fontId="28" numFmtId="165" xfId="0" applyAlignment="1" applyBorder="1" applyFont="1" applyNumberFormat="1">
      <alignment horizontal="center" readingOrder="0" shrinkToFit="0" vertical="center" wrapText="1"/>
    </xf>
    <xf borderId="54" fillId="0" fontId="28" numFmtId="165" xfId="0" applyAlignment="1" applyBorder="1" applyFont="1" applyNumberFormat="1">
      <alignment horizontal="center" shrinkToFit="0" vertical="center" wrapText="1"/>
    </xf>
    <xf borderId="54" fillId="3" fontId="28" numFmtId="165" xfId="0" applyAlignment="1" applyBorder="1" applyFont="1" applyNumberFormat="1">
      <alignment horizontal="center" readingOrder="0" shrinkToFit="0" vertical="center" wrapText="1"/>
    </xf>
    <xf borderId="5" fillId="3" fontId="18" numFmtId="0" xfId="0" applyAlignment="1" applyBorder="1" applyFont="1">
      <alignment readingOrder="0" shrinkToFit="0" wrapText="1"/>
    </xf>
    <xf borderId="35" fillId="3" fontId="3" numFmtId="166" xfId="0" applyAlignment="1" applyBorder="1" applyFont="1" applyNumberFormat="1">
      <alignment horizontal="center" readingOrder="0"/>
    </xf>
    <xf borderId="6" fillId="3" fontId="2" numFmtId="166" xfId="0" applyAlignment="1" applyBorder="1" applyFont="1" applyNumberFormat="1">
      <alignment horizontal="center"/>
    </xf>
    <xf borderId="5" fillId="0" fontId="9" numFmtId="0" xfId="0" applyBorder="1" applyFont="1"/>
    <xf borderId="35" fillId="0" fontId="9" numFmtId="166" xfId="0" applyAlignment="1" applyBorder="1" applyFont="1" applyNumberFormat="1">
      <alignment horizontal="center"/>
    </xf>
    <xf borderId="6" fillId="0" fontId="20" numFmtId="166" xfId="0" applyAlignment="1" applyBorder="1" applyFont="1" applyNumberFormat="1">
      <alignment horizontal="center"/>
    </xf>
    <xf borderId="37" fillId="8" fontId="28" numFmtId="0" xfId="0" applyAlignment="1" applyBorder="1" applyFont="1">
      <alignment horizontal="center" shrinkToFit="0" vertical="center" wrapText="1"/>
    </xf>
    <xf borderId="38" fillId="0" fontId="28" numFmtId="0" xfId="0" applyAlignment="1" applyBorder="1" applyFont="1">
      <alignment horizontal="center" shrinkToFit="0" vertical="center" wrapText="1"/>
    </xf>
    <xf borderId="38" fillId="0" fontId="28" numFmtId="165" xfId="0" applyAlignment="1" applyBorder="1" applyFont="1" applyNumberFormat="1">
      <alignment horizontal="center" shrinkToFit="0" vertical="center" wrapText="1"/>
    </xf>
    <xf borderId="55" fillId="0" fontId="28" numFmtId="165" xfId="0" applyAlignment="1" applyBorder="1" applyFont="1" applyNumberFormat="1">
      <alignment horizontal="center" readingOrder="0" shrinkToFit="0" vertical="center" wrapText="1"/>
    </xf>
    <xf borderId="51" fillId="0" fontId="28" numFmtId="165" xfId="0" applyAlignment="1" applyBorder="1" applyFont="1" applyNumberFormat="1">
      <alignment horizontal="center" shrinkToFit="0" vertical="center" wrapText="1"/>
    </xf>
    <xf borderId="20" fillId="8" fontId="28" numFmtId="0" xfId="0" applyAlignment="1" applyBorder="1" applyFont="1">
      <alignment horizontal="center" shrinkToFit="0" vertical="center" wrapText="1"/>
    </xf>
    <xf borderId="18" fillId="0" fontId="28" numFmtId="0" xfId="0" applyAlignment="1" applyBorder="1" applyFont="1">
      <alignment horizontal="center" shrinkToFit="0" vertical="center" wrapText="1"/>
    </xf>
    <xf borderId="18" fillId="0" fontId="28" numFmtId="165" xfId="0" applyAlignment="1" applyBorder="1" applyFont="1" applyNumberFormat="1">
      <alignment horizontal="center" shrinkToFit="0" vertical="center" wrapText="1"/>
    </xf>
    <xf borderId="19" fillId="0" fontId="28" numFmtId="165" xfId="0" applyAlignment="1" applyBorder="1" applyFont="1" applyNumberFormat="1">
      <alignment horizontal="center" shrinkToFit="0" vertical="center" wrapText="1"/>
    </xf>
    <xf borderId="52" fillId="0" fontId="28" numFmtId="165" xfId="0" applyAlignment="1" applyBorder="1" applyFont="1" applyNumberFormat="1">
      <alignment horizontal="center" shrinkToFit="0" vertical="center" wrapText="1"/>
    </xf>
    <xf borderId="15" fillId="0" fontId="28" numFmtId="165" xfId="0" applyAlignment="1" applyBorder="1" applyFont="1" applyNumberFormat="1">
      <alignment horizontal="center" shrinkToFit="0" vertical="center" wrapText="1"/>
    </xf>
    <xf borderId="20" fillId="8" fontId="28" numFmtId="0" xfId="0" applyAlignment="1" applyBorder="1" applyFont="1">
      <alignment horizontal="center" readingOrder="0" shrinkToFit="0" vertical="center" wrapText="1"/>
    </xf>
    <xf borderId="24" fillId="8" fontId="28" numFmtId="0" xfId="0" applyAlignment="1" applyBorder="1" applyFont="1">
      <alignment horizontal="center" shrinkToFit="0" vertical="center" wrapText="1"/>
    </xf>
    <xf borderId="22" fillId="0" fontId="28" numFmtId="0" xfId="0" applyAlignment="1" applyBorder="1" applyFont="1">
      <alignment horizontal="center" shrinkToFit="0" vertical="center" wrapText="1"/>
    </xf>
    <xf borderId="22" fillId="0" fontId="28" numFmtId="165" xfId="0" applyAlignment="1" applyBorder="1" applyFont="1" applyNumberFormat="1">
      <alignment horizontal="center" shrinkToFit="0" vertical="center" wrapText="1"/>
    </xf>
    <xf borderId="23" fillId="0" fontId="28" numFmtId="165" xfId="0" applyAlignment="1" applyBorder="1" applyFont="1" applyNumberFormat="1">
      <alignment horizontal="center" shrinkToFit="0" vertical="center" wrapText="1"/>
    </xf>
    <xf borderId="54" fillId="0" fontId="28" numFmtId="165" xfId="0" applyAlignment="1" applyBorder="1" applyFont="1" applyNumberFormat="1">
      <alignment horizontal="center" shrinkToFit="0" vertical="center" wrapText="1"/>
    </xf>
    <xf borderId="0" fillId="0" fontId="24" numFmtId="165" xfId="0" applyAlignment="1" applyFont="1" applyNumberFormat="1">
      <alignment vertical="center"/>
    </xf>
    <xf borderId="0" fillId="0" fontId="24" numFmtId="0" xfId="0" applyAlignment="1" applyFont="1">
      <alignment vertical="center"/>
    </xf>
    <xf borderId="1" fillId="18" fontId="22" numFmtId="0" xfId="0" applyAlignment="1" applyBorder="1" applyFont="1">
      <alignment shrinkToFit="0" wrapText="1"/>
    </xf>
    <xf borderId="41" fillId="18" fontId="22" numFmtId="0" xfId="0" applyAlignment="1" applyBorder="1" applyFont="1">
      <alignment horizontal="center" shrinkToFit="0" wrapText="1"/>
    </xf>
    <xf borderId="56" fillId="18" fontId="22" numFmtId="0" xfId="0" applyAlignment="1" applyBorder="1" applyFont="1">
      <alignment horizontal="center" readingOrder="0" shrinkToFit="0" wrapText="1"/>
    </xf>
    <xf borderId="0" fillId="0" fontId="24" numFmtId="0" xfId="0" applyAlignment="1" applyFont="1">
      <alignment readingOrder="0" vertical="center"/>
    </xf>
    <xf borderId="39" fillId="8" fontId="13" numFmtId="0" xfId="0" applyAlignment="1" applyBorder="1" applyFont="1">
      <alignment horizontal="center" readingOrder="0" vertical="center"/>
    </xf>
    <xf borderId="18" fillId="8" fontId="13" numFmtId="0" xfId="0" applyAlignment="1" applyBorder="1" applyFont="1">
      <alignment horizontal="center" readingOrder="0" vertical="center"/>
    </xf>
    <xf borderId="21" fillId="8" fontId="13" numFmtId="0" xfId="0" applyAlignment="1" applyBorder="1" applyFont="1">
      <alignment horizontal="center" readingOrder="0" vertical="center"/>
    </xf>
    <xf borderId="57" fillId="8" fontId="13" numFmtId="0" xfId="0" applyAlignment="1" applyBorder="1" applyFont="1">
      <alignment horizontal="center" readingOrder="0" vertical="center"/>
    </xf>
    <xf borderId="45" fillId="8" fontId="13" numFmtId="164" xfId="0" applyAlignment="1" applyBorder="1" applyFont="1" applyNumberFormat="1">
      <alignment horizontal="center" readingOrder="0" vertical="center"/>
    </xf>
    <xf borderId="58" fillId="8" fontId="13" numFmtId="0" xfId="0" applyAlignment="1" applyBorder="1" applyFont="1">
      <alignment horizontal="center" readingOrder="0" vertical="center"/>
    </xf>
    <xf borderId="17" fillId="3" fontId="13" numFmtId="0" xfId="0" applyAlignment="1" applyBorder="1" applyFont="1">
      <alignment horizontal="center" readingOrder="0" vertical="center"/>
    </xf>
    <xf borderId="42" fillId="3" fontId="13" numFmtId="0" xfId="0" applyAlignment="1" applyBorder="1" applyFont="1">
      <alignment readingOrder="0" vertical="center"/>
    </xf>
    <xf borderId="21" fillId="3" fontId="13" numFmtId="0" xfId="0" applyAlignment="1" applyBorder="1" applyFont="1">
      <alignment horizontal="center" readingOrder="0" vertical="center"/>
    </xf>
    <xf borderId="57" fillId="0" fontId="13" numFmtId="0" xfId="0" applyAlignment="1" applyBorder="1" applyFont="1">
      <alignment horizontal="center" readingOrder="0" vertical="center"/>
    </xf>
    <xf borderId="25" fillId="3" fontId="13" numFmtId="0" xfId="0" applyAlignment="1" applyBorder="1" applyFont="1">
      <alignment horizontal="center" readingOrder="0" vertical="center"/>
    </xf>
    <xf borderId="3" fillId="0" fontId="13" numFmtId="0" xfId="0" applyAlignment="1" applyBorder="1" applyFont="1">
      <alignment vertical="center"/>
    </xf>
    <xf borderId="15" fillId="0" fontId="13" numFmtId="165" xfId="0" applyAlignment="1" applyBorder="1" applyFont="1" applyNumberFormat="1">
      <alignment horizontal="center" readingOrder="0" vertical="center"/>
    </xf>
    <xf borderId="17" fillId="0" fontId="13" numFmtId="0" xfId="0" applyAlignment="1" applyBorder="1" applyFont="1">
      <alignment horizontal="center" readingOrder="0" shrinkToFit="0" vertical="center" wrapText="1"/>
    </xf>
    <xf borderId="0" fillId="0" fontId="24" numFmtId="166" xfId="0" applyAlignment="1" applyFont="1" applyNumberFormat="1">
      <alignment vertical="center"/>
    </xf>
    <xf borderId="21" fillId="9" fontId="13" numFmtId="0" xfId="0" applyAlignment="1" applyBorder="1" applyFill="1" applyFont="1">
      <alignment horizontal="center" shrinkToFit="0" vertical="center" wrapText="1"/>
    </xf>
    <xf borderId="25" fillId="9" fontId="13" numFmtId="0" xfId="0" applyAlignment="1" applyBorder="1" applyFont="1">
      <alignment horizontal="center" shrinkToFit="0" vertical="center" wrapText="1"/>
    </xf>
    <xf borderId="0" fillId="0" fontId="13" numFmtId="166" xfId="0" applyAlignment="1" applyFont="1" applyNumberFormat="1">
      <alignment horizontal="center" vertical="center"/>
    </xf>
    <xf borderId="48" fillId="9" fontId="24" numFmtId="0" xfId="0" applyAlignment="1" applyBorder="1" applyFont="1">
      <alignment horizontal="center" shrinkToFit="0" wrapText="1"/>
    </xf>
    <xf borderId="0" fillId="0" fontId="27" numFmtId="0" xfId="0" applyAlignment="1" applyFont="1">
      <alignment horizontal="center" shrinkToFit="0" wrapText="1"/>
    </xf>
    <xf borderId="48" fillId="9" fontId="24" numFmtId="0" xfId="0" applyBorder="1" applyFont="1"/>
    <xf borderId="1" fillId="18" fontId="26" numFmtId="0" xfId="0" applyAlignment="1" applyBorder="1" applyFont="1">
      <alignment horizontal="center" shrinkToFit="0" wrapText="1"/>
    </xf>
    <xf borderId="12" fillId="18" fontId="26" numFmtId="0" xfId="0" applyAlignment="1" applyBorder="1" applyFont="1">
      <alignment horizontal="center" shrinkToFit="0" wrapText="1"/>
    </xf>
    <xf borderId="49" fillId="18" fontId="26" numFmtId="0" xfId="0" applyAlignment="1" applyBorder="1" applyFont="1">
      <alignment horizontal="center" shrinkToFit="0" wrapText="1"/>
    </xf>
    <xf borderId="50" fillId="18" fontId="26" numFmtId="0" xfId="0" applyAlignment="1" applyBorder="1" applyFont="1">
      <alignment horizontal="center" shrinkToFit="0" wrapText="1"/>
    </xf>
    <xf borderId="37" fillId="3" fontId="28" numFmtId="0" xfId="0" applyAlignment="1" applyBorder="1" applyFont="1">
      <alignment horizontal="center" shrinkToFit="0" wrapText="1"/>
    </xf>
    <xf borderId="38" fillId="0" fontId="28" numFmtId="0" xfId="0" applyAlignment="1" applyBorder="1" applyFont="1">
      <alignment horizontal="center" readingOrder="0" shrinkToFit="0" wrapText="1"/>
    </xf>
    <xf borderId="38" fillId="0" fontId="28" numFmtId="165" xfId="0" applyAlignment="1" applyBorder="1" applyFont="1" applyNumberFormat="1">
      <alignment horizontal="center" shrinkToFit="0" wrapText="1"/>
    </xf>
    <xf borderId="18" fillId="0" fontId="28" numFmtId="165" xfId="0" applyAlignment="1" applyBorder="1" applyFont="1" applyNumberFormat="1">
      <alignment horizontal="center" readingOrder="0" shrinkToFit="0" wrapText="1"/>
    </xf>
    <xf borderId="51" fillId="0" fontId="28" numFmtId="165" xfId="0" applyAlignment="1" applyBorder="1" applyFont="1" applyNumberFormat="1">
      <alignment horizontal="center" shrinkToFit="0" wrapText="1"/>
    </xf>
    <xf borderId="51" fillId="8" fontId="28" numFmtId="165" xfId="0" applyAlignment="1" applyBorder="1" applyFont="1" applyNumberFormat="1">
      <alignment horizontal="center" readingOrder="0" shrinkToFit="0" wrapText="1"/>
    </xf>
    <xf borderId="20" fillId="3" fontId="28" numFmtId="0" xfId="0" applyAlignment="1" applyBorder="1" applyFont="1">
      <alignment horizontal="center" shrinkToFit="0" wrapText="1"/>
    </xf>
    <xf borderId="18" fillId="0" fontId="28" numFmtId="0" xfId="0" applyAlignment="1" applyBorder="1" applyFont="1">
      <alignment horizontal="center" readingOrder="0" shrinkToFit="0" wrapText="1"/>
    </xf>
    <xf borderId="15" fillId="0" fontId="28" numFmtId="165" xfId="0" applyAlignment="1" applyBorder="1" applyFont="1" applyNumberFormat="1">
      <alignment horizontal="center" shrinkToFit="0" wrapText="1"/>
    </xf>
    <xf borderId="19" fillId="0" fontId="28" numFmtId="165" xfId="0" applyAlignment="1" applyBorder="1" applyFont="1" applyNumberFormat="1">
      <alignment horizontal="center" readingOrder="0" shrinkToFit="0" wrapText="1"/>
    </xf>
    <xf borderId="52" fillId="0" fontId="28" numFmtId="165" xfId="0" applyAlignment="1" applyBorder="1" applyFont="1" applyNumberFormat="1">
      <alignment horizontal="center" shrinkToFit="0" wrapText="1"/>
    </xf>
    <xf borderId="53" fillId="8" fontId="28" numFmtId="165" xfId="0" applyAlignment="1" applyBorder="1" applyFont="1" applyNumberFormat="1">
      <alignment horizontal="center" readingOrder="0" shrinkToFit="0" wrapText="1"/>
    </xf>
    <xf borderId="20" fillId="3" fontId="28" numFmtId="0" xfId="0" applyAlignment="1" applyBorder="1" applyFont="1">
      <alignment horizontal="center" readingOrder="0" shrinkToFit="0" wrapText="1"/>
    </xf>
    <xf borderId="24" fillId="3" fontId="28" numFmtId="0" xfId="0" applyAlignment="1" applyBorder="1" applyFont="1">
      <alignment horizontal="center" shrinkToFit="0" wrapText="1"/>
    </xf>
    <xf borderId="22" fillId="0" fontId="28" numFmtId="0" xfId="0" applyAlignment="1" applyBorder="1" applyFont="1">
      <alignment horizontal="center" readingOrder="0" shrinkToFit="0" wrapText="1"/>
    </xf>
    <xf borderId="22" fillId="0" fontId="28" numFmtId="165" xfId="0" applyAlignment="1" applyBorder="1" applyFont="1" applyNumberFormat="1">
      <alignment horizontal="center" shrinkToFit="0" wrapText="1"/>
    </xf>
    <xf borderId="22" fillId="0" fontId="28" numFmtId="165" xfId="0" applyAlignment="1" applyBorder="1" applyFont="1" applyNumberFormat="1">
      <alignment horizontal="center" readingOrder="0" shrinkToFit="0" wrapText="1"/>
    </xf>
    <xf borderId="54" fillId="0" fontId="28" numFmtId="165" xfId="0" applyAlignment="1" applyBorder="1" applyFont="1" applyNumberFormat="1">
      <alignment horizontal="center" shrinkToFit="0" wrapText="1"/>
    </xf>
    <xf borderId="54" fillId="8" fontId="28" numFmtId="165" xfId="0" applyAlignment="1" applyBorder="1" applyFont="1" applyNumberFormat="1">
      <alignment horizontal="center" readingOrder="0" shrinkToFit="0" wrapText="1"/>
    </xf>
    <xf borderId="37" fillId="8" fontId="28" numFmtId="0" xfId="0" applyAlignment="1" applyBorder="1" applyFont="1">
      <alignment horizontal="center" shrinkToFit="0" wrapText="1"/>
    </xf>
    <xf borderId="38" fillId="0" fontId="28" numFmtId="0" xfId="0" applyAlignment="1" applyBorder="1" applyFont="1">
      <alignment horizontal="center" shrinkToFit="0" wrapText="1"/>
    </xf>
    <xf borderId="38" fillId="0" fontId="28" numFmtId="165" xfId="0" applyAlignment="1" applyBorder="1" applyFont="1" applyNumberFormat="1">
      <alignment horizontal="center" shrinkToFit="0" wrapText="1"/>
    </xf>
    <xf borderId="55" fillId="0" fontId="28" numFmtId="165" xfId="0" applyAlignment="1" applyBorder="1" applyFont="1" applyNumberFormat="1">
      <alignment horizontal="center" readingOrder="0" shrinkToFit="0" wrapText="1"/>
    </xf>
    <xf borderId="51" fillId="0" fontId="28" numFmtId="165" xfId="0" applyAlignment="1" applyBorder="1" applyFont="1" applyNumberFormat="1">
      <alignment horizontal="center" shrinkToFit="0" wrapText="1"/>
    </xf>
    <xf borderId="20" fillId="8" fontId="28" numFmtId="0" xfId="0" applyAlignment="1" applyBorder="1" applyFont="1">
      <alignment horizontal="center" shrinkToFit="0" wrapText="1"/>
    </xf>
    <xf borderId="18" fillId="0" fontId="28" numFmtId="0" xfId="0" applyAlignment="1" applyBorder="1" applyFont="1">
      <alignment horizontal="center" shrinkToFit="0" wrapText="1"/>
    </xf>
    <xf borderId="18" fillId="0" fontId="28" numFmtId="165" xfId="0" applyAlignment="1" applyBorder="1" applyFont="1" applyNumberFormat="1">
      <alignment horizontal="center" shrinkToFit="0" wrapText="1"/>
    </xf>
    <xf borderId="19" fillId="0" fontId="28" numFmtId="165" xfId="0" applyAlignment="1" applyBorder="1" applyFont="1" applyNumberFormat="1">
      <alignment horizontal="center" shrinkToFit="0" wrapText="1"/>
    </xf>
    <xf borderId="52" fillId="0" fontId="28" numFmtId="165" xfId="0" applyAlignment="1" applyBorder="1" applyFont="1" applyNumberFormat="1">
      <alignment horizontal="center" shrinkToFit="0" wrapText="1"/>
    </xf>
    <xf borderId="15" fillId="0" fontId="28" numFmtId="165" xfId="0" applyAlignment="1" applyBorder="1" applyFont="1" applyNumberFormat="1">
      <alignment horizontal="center" shrinkToFit="0" wrapText="1"/>
    </xf>
    <xf borderId="20" fillId="8" fontId="28" numFmtId="0" xfId="0" applyAlignment="1" applyBorder="1" applyFont="1">
      <alignment horizontal="center" readingOrder="0" shrinkToFit="0" wrapText="1"/>
    </xf>
    <xf borderId="24" fillId="8" fontId="28" numFmtId="0" xfId="0" applyAlignment="1" applyBorder="1" applyFont="1">
      <alignment horizontal="center" shrinkToFit="0" wrapText="1"/>
    </xf>
    <xf borderId="22" fillId="0" fontId="28" numFmtId="0" xfId="0" applyAlignment="1" applyBorder="1" applyFont="1">
      <alignment horizontal="center" shrinkToFit="0" wrapText="1"/>
    </xf>
    <xf borderId="22" fillId="0" fontId="28" numFmtId="165" xfId="0" applyAlignment="1" applyBorder="1" applyFont="1" applyNumberFormat="1">
      <alignment horizontal="center" shrinkToFit="0" wrapText="1"/>
    </xf>
    <xf borderId="23" fillId="0" fontId="28" numFmtId="165" xfId="0" applyAlignment="1" applyBorder="1" applyFont="1" applyNumberFormat="1">
      <alignment horizontal="center" shrinkToFit="0" wrapText="1"/>
    </xf>
    <xf borderId="54" fillId="0" fontId="28" numFmtId="165" xfId="0" applyAlignment="1" applyBorder="1" applyFont="1" applyNumberFormat="1">
      <alignment horizontal="center" shrinkToFit="0" wrapText="1"/>
    </xf>
    <xf borderId="1" fillId="7" fontId="26" numFmtId="0" xfId="0" applyAlignment="1" applyBorder="1" applyFont="1">
      <alignment horizontal="center" shrinkToFit="0" wrapText="1"/>
    </xf>
    <xf borderId="12" fillId="7" fontId="27" numFmtId="0" xfId="0" applyAlignment="1" applyBorder="1" applyFont="1">
      <alignment horizontal="center"/>
    </xf>
    <xf borderId="14" fillId="7" fontId="27" numFmtId="0" xfId="0" applyAlignment="1" applyBorder="1" applyFont="1">
      <alignment horizontal="center"/>
    </xf>
    <xf borderId="40" fillId="18" fontId="22" numFmtId="0" xfId="0" applyAlignment="1" applyBorder="1" applyFont="1">
      <alignment horizontal="center" shrinkToFit="0" wrapText="1"/>
    </xf>
    <xf borderId="40" fillId="18" fontId="22" numFmtId="0" xfId="0" applyAlignment="1" applyBorder="1" applyFont="1">
      <alignment shrinkToFit="0" wrapText="1"/>
    </xf>
    <xf borderId="56" fillId="18" fontId="22" numFmtId="0" xfId="0" applyAlignment="1" applyBorder="1" applyFont="1">
      <alignment horizontal="center" shrinkToFit="0" wrapText="1"/>
    </xf>
    <xf borderId="37" fillId="0" fontId="13" numFmtId="0" xfId="0" applyBorder="1" applyFont="1"/>
    <xf borderId="38" fillId="0" fontId="13" numFmtId="0" xfId="0" applyAlignment="1" applyBorder="1" applyFont="1">
      <alignment horizontal="center" readingOrder="0"/>
    </xf>
    <xf borderId="38" fillId="0" fontId="13" numFmtId="165" xfId="0" applyAlignment="1" applyBorder="1" applyFont="1" applyNumberFormat="1">
      <alignment horizontal="center" readingOrder="0"/>
    </xf>
    <xf borderId="39" fillId="0" fontId="13" numFmtId="0" xfId="0" applyAlignment="1" applyBorder="1" applyFont="1">
      <alignment horizontal="center" readingOrder="0" shrinkToFit="0" wrapText="1"/>
    </xf>
    <xf borderId="0" fillId="0" fontId="24" numFmtId="0" xfId="0" applyAlignment="1" applyFont="1">
      <alignment readingOrder="0"/>
    </xf>
    <xf borderId="37" fillId="8" fontId="13" numFmtId="0" xfId="0" applyAlignment="1" applyBorder="1" applyFont="1">
      <alignment horizontal="center"/>
    </xf>
    <xf borderId="37" fillId="8" fontId="13" numFmtId="0" xfId="0" applyAlignment="1" applyBorder="1" applyFont="1">
      <alignment readingOrder="0"/>
    </xf>
    <xf borderId="38" fillId="8" fontId="13" numFmtId="0" xfId="0" applyAlignment="1" applyBorder="1" applyFont="1">
      <alignment horizontal="center" readingOrder="0"/>
    </xf>
    <xf borderId="38" fillId="8" fontId="13" numFmtId="164" xfId="0" applyAlignment="1" applyBorder="1" applyFont="1" applyNumberFormat="1">
      <alignment horizontal="center" readingOrder="0"/>
    </xf>
    <xf borderId="39" fillId="8" fontId="13" numFmtId="0" xfId="0" applyAlignment="1" applyBorder="1" applyFont="1">
      <alignment horizontal="center" readingOrder="0"/>
    </xf>
    <xf borderId="20" fillId="0" fontId="13" numFmtId="0" xfId="0" applyBorder="1" applyFont="1"/>
    <xf borderId="18" fillId="0" fontId="13" numFmtId="165" xfId="0" applyAlignment="1" applyBorder="1" applyFont="1" applyNumberFormat="1">
      <alignment horizontal="center" readingOrder="0"/>
    </xf>
    <xf borderId="21" fillId="0" fontId="13" numFmtId="0" xfId="0" applyAlignment="1" applyBorder="1" applyFont="1">
      <alignment horizontal="center" readingOrder="0" shrinkToFit="0" wrapText="1"/>
    </xf>
    <xf borderId="20" fillId="8" fontId="13" numFmtId="0" xfId="0" applyAlignment="1" applyBorder="1" applyFont="1">
      <alignment horizontal="center"/>
    </xf>
    <xf borderId="20" fillId="8" fontId="13" numFmtId="0" xfId="0" applyAlignment="1" applyBorder="1" applyFont="1">
      <alignment readingOrder="0"/>
    </xf>
    <xf borderId="43" fillId="8" fontId="13" numFmtId="0" xfId="0" applyAlignment="1" applyBorder="1" applyFont="1">
      <alignment horizontal="center" readingOrder="0"/>
    </xf>
    <xf borderId="18" fillId="8" fontId="13" numFmtId="164" xfId="0" applyAlignment="1" applyBorder="1" applyFont="1" applyNumberFormat="1">
      <alignment horizontal="center" readingOrder="0"/>
    </xf>
    <xf borderId="18" fillId="8" fontId="13" numFmtId="0" xfId="0" applyAlignment="1" applyBorder="1" applyFont="1">
      <alignment horizontal="center" readingOrder="0"/>
    </xf>
    <xf borderId="21" fillId="8" fontId="13" numFmtId="0" xfId="0" applyAlignment="1" applyBorder="1" applyFont="1">
      <alignment horizontal="center" readingOrder="0"/>
    </xf>
    <xf borderId="42" fillId="8" fontId="13" numFmtId="0" xfId="0" applyAlignment="1" applyBorder="1" applyFont="1">
      <alignment readingOrder="0"/>
    </xf>
    <xf borderId="18" fillId="0" fontId="13" numFmtId="165" xfId="0" applyAlignment="1" applyBorder="1" applyFont="1" applyNumberFormat="1">
      <alignment horizontal="center" readingOrder="0" shrinkToFit="0" wrapText="1"/>
    </xf>
    <xf borderId="42" fillId="8" fontId="13" numFmtId="0" xfId="0" applyAlignment="1" applyBorder="1" applyFont="1">
      <alignment horizontal="center"/>
    </xf>
    <xf borderId="57" fillId="8" fontId="13" numFmtId="0" xfId="0" applyAlignment="1" applyBorder="1" applyFont="1">
      <alignment horizontal="center" readingOrder="0"/>
    </xf>
    <xf borderId="24" fillId="8" fontId="13" numFmtId="0" xfId="0" applyAlignment="1" applyBorder="1" applyFont="1">
      <alignment horizontal="center"/>
    </xf>
    <xf borderId="44" fillId="8" fontId="13" numFmtId="0" xfId="0" applyAlignment="1" applyBorder="1" applyFont="1">
      <alignment readingOrder="0"/>
    </xf>
    <xf borderId="45" fillId="8" fontId="13" numFmtId="0" xfId="0" applyAlignment="1" applyBorder="1" applyFont="1">
      <alignment horizontal="center" readingOrder="0"/>
    </xf>
    <xf borderId="45" fillId="8" fontId="13" numFmtId="164" xfId="0" applyAlignment="1" applyBorder="1" applyFont="1" applyNumberFormat="1">
      <alignment horizontal="center" readingOrder="0"/>
    </xf>
    <xf borderId="58" fillId="8" fontId="13" numFmtId="0" xfId="0" applyAlignment="1" applyBorder="1" applyFont="1">
      <alignment horizontal="center" readingOrder="0"/>
    </xf>
    <xf borderId="42" fillId="3" fontId="13" numFmtId="0" xfId="0" applyAlignment="1" applyBorder="1" applyFont="1">
      <alignment horizontal="center"/>
    </xf>
    <xf borderId="42" fillId="3" fontId="13" numFmtId="0" xfId="0" applyAlignment="1" applyBorder="1" applyFont="1">
      <alignment readingOrder="0"/>
    </xf>
    <xf borderId="43" fillId="3" fontId="13" numFmtId="0" xfId="0" applyAlignment="1" applyBorder="1" applyFont="1">
      <alignment horizontal="center" readingOrder="0"/>
    </xf>
    <xf borderId="43" fillId="3" fontId="13" numFmtId="164" xfId="0" applyAlignment="1" applyBorder="1" applyFont="1" applyNumberFormat="1">
      <alignment horizontal="center" readingOrder="0"/>
    </xf>
    <xf borderId="57" fillId="3" fontId="13" numFmtId="0" xfId="0" applyAlignment="1" applyBorder="1" applyFont="1">
      <alignment horizontal="center" readingOrder="0"/>
    </xf>
    <xf borderId="20" fillId="3" fontId="13" numFmtId="0" xfId="0" applyAlignment="1" applyBorder="1" applyFont="1">
      <alignment horizontal="center"/>
    </xf>
    <xf borderId="18" fillId="3" fontId="13" numFmtId="0" xfId="0" applyAlignment="1" applyBorder="1" applyFont="1">
      <alignment horizontal="center" readingOrder="0"/>
    </xf>
    <xf borderId="18" fillId="3" fontId="13" numFmtId="164" xfId="0" applyAlignment="1" applyBorder="1" applyFont="1" applyNumberFormat="1">
      <alignment horizontal="center" readingOrder="0"/>
    </xf>
    <xf borderId="21" fillId="3" fontId="13" numFmtId="0" xfId="0" applyAlignment="1" applyBorder="1" applyFont="1">
      <alignment horizontal="center" readingOrder="0"/>
    </xf>
    <xf borderId="20" fillId="3" fontId="13" numFmtId="0" xfId="0" applyAlignment="1" applyBorder="1" applyFont="1">
      <alignment readingOrder="0"/>
    </xf>
    <xf borderId="20" fillId="0" fontId="13" numFmtId="0" xfId="0" applyAlignment="1" applyBorder="1" applyFont="1">
      <alignment horizontal="center"/>
    </xf>
    <xf borderId="24" fillId="0" fontId="13" numFmtId="0" xfId="0" applyAlignment="1" applyBorder="1" applyFont="1">
      <alignment horizontal="center"/>
    </xf>
    <xf borderId="24" fillId="3" fontId="13" numFmtId="0" xfId="0" applyAlignment="1" applyBorder="1" applyFont="1">
      <alignment readingOrder="0"/>
    </xf>
    <xf borderId="22" fillId="3" fontId="13" numFmtId="0" xfId="0" applyAlignment="1" applyBorder="1" applyFont="1">
      <alignment horizontal="center" readingOrder="0"/>
    </xf>
    <xf borderId="22" fillId="3" fontId="13" numFmtId="164" xfId="0" applyAlignment="1" applyBorder="1" applyFont="1" applyNumberFormat="1">
      <alignment horizontal="center" readingOrder="0"/>
    </xf>
    <xf borderId="25" fillId="3" fontId="13" numFmtId="0" xfId="0" applyAlignment="1" applyBorder="1" applyFont="1">
      <alignment horizontal="center" readingOrder="0"/>
    </xf>
    <xf borderId="24" fillId="0" fontId="13" numFmtId="0" xfId="0" applyBorder="1" applyFont="1"/>
    <xf borderId="22" fillId="0" fontId="13" numFmtId="0" xfId="0" applyAlignment="1" applyBorder="1" applyFont="1">
      <alignment horizontal="center" readingOrder="0"/>
    </xf>
    <xf borderId="22" fillId="0" fontId="13" numFmtId="165" xfId="0" applyAlignment="1" applyBorder="1" applyFont="1" applyNumberFormat="1">
      <alignment horizontal="center" readingOrder="0"/>
    </xf>
    <xf borderId="25" fillId="0" fontId="13" numFmtId="0" xfId="0" applyAlignment="1" applyBorder="1" applyFont="1">
      <alignment horizontal="center" readingOrder="0" shrinkToFit="0" wrapText="1"/>
    </xf>
    <xf borderId="3" fillId="0" fontId="13" numFmtId="0" xfId="0" applyBorder="1" applyFont="1"/>
    <xf borderId="15" fillId="0" fontId="13" numFmtId="0" xfId="0" applyAlignment="1" applyBorder="1" applyFont="1">
      <alignment horizontal="center" readingOrder="0"/>
    </xf>
    <xf borderId="15" fillId="0" fontId="13" numFmtId="165" xfId="0" applyAlignment="1" applyBorder="1" applyFont="1" applyNumberFormat="1">
      <alignment horizontal="center" readingOrder="0"/>
    </xf>
    <xf borderId="17" fillId="0" fontId="13" numFmtId="0" xfId="0" applyAlignment="1" applyBorder="1" applyFont="1">
      <alignment horizontal="center" readingOrder="0" shrinkToFit="0" wrapText="1"/>
    </xf>
    <xf borderId="0" fillId="0" fontId="24" numFmtId="166" xfId="0" applyFont="1" applyNumberFormat="1"/>
    <xf borderId="21" fillId="9" fontId="13" numFmtId="0" xfId="0" applyAlignment="1" applyBorder="1" applyFont="1">
      <alignment horizontal="center" shrinkToFit="0" wrapText="1"/>
    </xf>
    <xf borderId="25" fillId="9" fontId="13" numFmtId="0" xfId="0" applyAlignment="1" applyBorder="1" applyFont="1">
      <alignment horizontal="center" shrinkToFit="0" wrapText="1"/>
    </xf>
    <xf borderId="0" fillId="0" fontId="13" numFmtId="166" xfId="0" applyAlignment="1" applyFont="1" applyNumberFormat="1">
      <alignment horizontal="center"/>
    </xf>
    <xf borderId="0" fillId="0" fontId="4" numFmtId="165" xfId="0" applyFont="1" applyNumberFormat="1"/>
    <xf borderId="0" fillId="0" fontId="4" numFmtId="165" xfId="0" applyAlignment="1" applyFont="1" applyNumberFormat="1">
      <alignment readingOrder="0"/>
    </xf>
    <xf borderId="9" fillId="7" fontId="27" numFmtId="0" xfId="0" applyAlignment="1" applyBorder="1" applyFont="1">
      <alignment horizontal="center"/>
    </xf>
    <xf borderId="55" fillId="0" fontId="28" numFmtId="165" xfId="0" applyAlignment="1" applyBorder="1" applyFont="1" applyNumberFormat="1">
      <alignment horizontal="center" shrinkToFit="0" wrapText="1"/>
    </xf>
    <xf borderId="51" fillId="8" fontId="28" numFmtId="165" xfId="0" applyAlignment="1" applyBorder="1" applyFont="1" applyNumberFormat="1">
      <alignment horizontal="center" shrinkToFit="0" wrapText="1"/>
    </xf>
    <xf borderId="0" fillId="0" fontId="4" numFmtId="0" xfId="0" applyFont="1"/>
    <xf borderId="37" fillId="8" fontId="24" numFmtId="166" xfId="0" applyAlignment="1" applyBorder="1" applyFont="1" applyNumberFormat="1">
      <alignment horizontal="center"/>
    </xf>
    <xf borderId="59" fillId="8" fontId="24" numFmtId="0" xfId="0" applyAlignment="1" applyBorder="1" applyFont="1">
      <alignment horizontal="center"/>
    </xf>
    <xf borderId="39" fillId="8" fontId="24" numFmtId="0" xfId="0" applyAlignment="1" applyBorder="1" applyFont="1">
      <alignment horizontal="center"/>
    </xf>
    <xf borderId="53" fillId="8" fontId="28" numFmtId="165" xfId="0" applyAlignment="1" applyBorder="1" applyFont="1" applyNumberFormat="1">
      <alignment horizontal="center" shrinkToFit="0" wrapText="1"/>
    </xf>
    <xf borderId="20" fillId="8" fontId="24" numFmtId="166" xfId="0" applyAlignment="1" applyBorder="1" applyFont="1" applyNumberFormat="1">
      <alignment horizontal="center"/>
    </xf>
    <xf borderId="60" fillId="8" fontId="24" numFmtId="0" xfId="0" applyAlignment="1" applyBorder="1" applyFont="1">
      <alignment horizontal="center"/>
    </xf>
    <xf borderId="21" fillId="8" fontId="24" numFmtId="0" xfId="0" applyAlignment="1" applyBorder="1" applyFont="1">
      <alignment horizontal="center"/>
    </xf>
    <xf borderId="1" fillId="0" fontId="27" numFmtId="166" xfId="0" applyAlignment="1" applyBorder="1" applyFont="1" applyNumberFormat="1">
      <alignment horizontal="center"/>
    </xf>
    <xf borderId="13" fillId="0" fontId="27" numFmtId="0" xfId="0" applyAlignment="1" applyBorder="1" applyFont="1">
      <alignment horizontal="center"/>
    </xf>
    <xf borderId="42" fillId="8" fontId="24" numFmtId="166" xfId="0" applyAlignment="1" applyBorder="1" applyFont="1" applyNumberFormat="1">
      <alignment horizontal="center"/>
    </xf>
    <xf borderId="24" fillId="8" fontId="24" numFmtId="166" xfId="0" applyAlignment="1" applyBorder="1" applyFont="1" applyNumberFormat="1">
      <alignment horizontal="center"/>
    </xf>
    <xf borderId="25" fillId="8" fontId="24" numFmtId="0" xfId="0" applyAlignment="1" applyBorder="1" applyFont="1">
      <alignment horizontal="center"/>
    </xf>
    <xf borderId="2" fillId="0" fontId="27" numFmtId="0" xfId="0" applyAlignment="1" applyBorder="1" applyFont="1">
      <alignment horizontal="center"/>
    </xf>
    <xf borderId="54" fillId="8" fontId="28" numFmtId="165" xfId="0" applyAlignment="1" applyBorder="1" applyFont="1" applyNumberFormat="1">
      <alignment horizontal="center" shrinkToFit="0" wrapText="1"/>
    </xf>
    <xf borderId="38" fillId="0" fontId="13" numFmtId="0" xfId="0" applyAlignment="1" applyBorder="1" applyFont="1">
      <alignment horizontal="center"/>
    </xf>
    <xf borderId="38" fillId="0" fontId="13" numFmtId="166" xfId="0" applyAlignment="1" applyBorder="1" applyFont="1" applyNumberFormat="1">
      <alignment horizontal="center"/>
    </xf>
    <xf borderId="39" fillId="0" fontId="13" numFmtId="0" xfId="0" applyAlignment="1" applyBorder="1" applyFont="1">
      <alignment horizontal="center" shrinkToFit="0" wrapText="1"/>
    </xf>
    <xf borderId="37" fillId="8" fontId="13" numFmtId="0" xfId="0" applyBorder="1" applyFont="1"/>
    <xf borderId="38" fillId="8" fontId="13" numFmtId="0" xfId="0" applyAlignment="1" applyBorder="1" applyFont="1">
      <alignment horizontal="center"/>
    </xf>
    <xf borderId="38" fillId="8" fontId="13" numFmtId="164" xfId="0" applyAlignment="1" applyBorder="1" applyFont="1" applyNumberFormat="1">
      <alignment horizontal="center"/>
    </xf>
    <xf borderId="39" fillId="8" fontId="13" numFmtId="0" xfId="0" applyAlignment="1" applyBorder="1" applyFont="1">
      <alignment horizontal="center"/>
    </xf>
    <xf borderId="18" fillId="0" fontId="13" numFmtId="0" xfId="0" applyAlignment="1" applyBorder="1" applyFont="1">
      <alignment horizontal="center"/>
    </xf>
    <xf borderId="18" fillId="0" fontId="13" numFmtId="166" xfId="0" applyAlignment="1" applyBorder="1" applyFont="1" applyNumberFormat="1">
      <alignment horizontal="center"/>
    </xf>
    <xf borderId="21" fillId="0" fontId="13" numFmtId="0" xfId="0" applyAlignment="1" applyBorder="1" applyFont="1">
      <alignment horizontal="center" shrinkToFit="0" wrapText="1"/>
    </xf>
    <xf borderId="20" fillId="8" fontId="13" numFmtId="0" xfId="0" applyBorder="1" applyFont="1"/>
    <xf borderId="43" fillId="8" fontId="13" numFmtId="0" xfId="0" applyAlignment="1" applyBorder="1" applyFont="1">
      <alignment horizontal="center"/>
    </xf>
    <xf borderId="18" fillId="8" fontId="13" numFmtId="164" xfId="0" applyAlignment="1" applyBorder="1" applyFont="1" applyNumberFormat="1">
      <alignment horizontal="center"/>
    </xf>
    <xf borderId="18" fillId="8" fontId="13" numFmtId="0" xfId="0" applyAlignment="1" applyBorder="1" applyFont="1">
      <alignment horizontal="center"/>
    </xf>
    <xf borderId="21" fillId="8" fontId="13" numFmtId="0" xfId="0" applyAlignment="1" applyBorder="1" applyFont="1">
      <alignment horizontal="center"/>
    </xf>
    <xf borderId="42" fillId="8" fontId="13" numFmtId="0" xfId="0" applyBorder="1" applyFont="1"/>
    <xf borderId="18" fillId="0" fontId="13" numFmtId="0" xfId="0" applyAlignment="1" applyBorder="1" applyFont="1">
      <alignment horizontal="center" shrinkToFit="0" wrapText="1"/>
    </xf>
    <xf borderId="43" fillId="8" fontId="13" numFmtId="164" xfId="0" applyAlignment="1" applyBorder="1" applyFont="1" applyNumberFormat="1">
      <alignment horizontal="center"/>
    </xf>
    <xf borderId="57" fillId="8" fontId="13" numFmtId="0" xfId="0" applyAlignment="1" applyBorder="1" applyFont="1">
      <alignment horizontal="center"/>
    </xf>
    <xf borderId="44" fillId="8" fontId="13" numFmtId="0" xfId="0" applyBorder="1" applyFont="1"/>
    <xf borderId="45" fillId="8" fontId="13" numFmtId="0" xfId="0" applyAlignment="1" applyBorder="1" applyFont="1">
      <alignment horizontal="center"/>
    </xf>
    <xf borderId="45" fillId="8" fontId="13" numFmtId="164" xfId="0" applyAlignment="1" applyBorder="1" applyFont="1" applyNumberFormat="1">
      <alignment horizontal="center"/>
    </xf>
    <xf borderId="58" fillId="8" fontId="13" numFmtId="0" xfId="0" applyAlignment="1" applyBorder="1" applyFont="1">
      <alignment horizontal="center"/>
    </xf>
    <xf borderId="42" fillId="3" fontId="13" numFmtId="0" xfId="0" applyBorder="1" applyFont="1"/>
    <xf borderId="43" fillId="3" fontId="13" numFmtId="0" xfId="0" applyAlignment="1" applyBorder="1" applyFont="1">
      <alignment horizontal="center"/>
    </xf>
    <xf borderId="43" fillId="3" fontId="13" numFmtId="164" xfId="0" applyAlignment="1" applyBorder="1" applyFont="1" applyNumberFormat="1">
      <alignment horizontal="center"/>
    </xf>
    <xf borderId="57" fillId="3" fontId="13" numFmtId="0" xfId="0" applyAlignment="1" applyBorder="1" applyFont="1">
      <alignment horizontal="center"/>
    </xf>
    <xf borderId="18" fillId="3" fontId="13" numFmtId="0" xfId="0" applyAlignment="1" applyBorder="1" applyFont="1">
      <alignment horizontal="center"/>
    </xf>
    <xf borderId="18" fillId="3" fontId="13" numFmtId="164" xfId="0" applyAlignment="1" applyBorder="1" applyFont="1" applyNumberFormat="1">
      <alignment horizontal="center"/>
    </xf>
    <xf borderId="21" fillId="3" fontId="13" numFmtId="0" xfId="0" applyAlignment="1" applyBorder="1" applyFont="1">
      <alignment horizontal="center"/>
    </xf>
    <xf borderId="20" fillId="3" fontId="13" numFmtId="0" xfId="0" applyBorder="1" applyFont="1"/>
    <xf borderId="24" fillId="3" fontId="13" numFmtId="0" xfId="0" applyBorder="1" applyFont="1"/>
    <xf borderId="22" fillId="3" fontId="13" numFmtId="0" xfId="0" applyAlignment="1" applyBorder="1" applyFont="1">
      <alignment horizontal="center"/>
    </xf>
    <xf borderId="22" fillId="3" fontId="13" numFmtId="164" xfId="0" applyAlignment="1" applyBorder="1" applyFont="1" applyNumberFormat="1">
      <alignment horizontal="center"/>
    </xf>
    <xf borderId="25" fillId="3" fontId="13" numFmtId="0" xfId="0" applyAlignment="1" applyBorder="1" applyFont="1">
      <alignment horizontal="center"/>
    </xf>
    <xf borderId="22" fillId="0" fontId="13" numFmtId="0" xfId="0" applyAlignment="1" applyBorder="1" applyFont="1">
      <alignment horizontal="center"/>
    </xf>
    <xf borderId="22" fillId="0" fontId="13" numFmtId="166" xfId="0" applyAlignment="1" applyBorder="1" applyFont="1" applyNumberFormat="1">
      <alignment horizontal="center"/>
    </xf>
    <xf borderId="25" fillId="0" fontId="13" numFmtId="0" xfId="0" applyAlignment="1" applyBorder="1" applyFont="1">
      <alignment horizontal="center" shrinkToFit="0" wrapText="1"/>
    </xf>
    <xf borderId="15" fillId="0" fontId="13" numFmtId="0" xfId="0" applyAlignment="1" applyBorder="1" applyFont="1">
      <alignment horizontal="center"/>
    </xf>
    <xf borderId="15" fillId="0" fontId="13" numFmtId="166" xfId="0" applyAlignment="1" applyBorder="1" applyFont="1" applyNumberFormat="1">
      <alignment horizontal="center"/>
    </xf>
    <xf borderId="17" fillId="0" fontId="13" numFmtId="0" xfId="0" applyAlignment="1" applyBorder="1" applyFont="1">
      <alignment horizontal="center" shrinkToFit="0" wrapText="1"/>
    </xf>
    <xf borderId="1" fillId="18" fontId="22" numFmtId="0" xfId="0" applyAlignment="1" applyBorder="1" applyFont="1">
      <alignment horizontal="center" shrinkToFit="0" wrapText="1"/>
    </xf>
    <xf borderId="12" fillId="18" fontId="22" numFmtId="0" xfId="0" applyAlignment="1" applyBorder="1" applyFont="1">
      <alignment horizontal="center" shrinkToFit="0" wrapText="1"/>
    </xf>
    <xf borderId="14" fillId="18" fontId="22" numFmtId="0" xfId="0" applyAlignment="1" applyBorder="1" applyFont="1">
      <alignment horizontal="center" shrinkToFit="0" wrapText="1"/>
    </xf>
    <xf borderId="24" fillId="3" fontId="13" numFmtId="0" xfId="0" applyAlignment="1" applyBorder="1" applyFont="1">
      <alignment horizontal="center"/>
    </xf>
    <xf borderId="37" fillId="0" fontId="24" numFmtId="166" xfId="0" applyAlignment="1" applyBorder="1" applyFont="1" applyNumberFormat="1">
      <alignment horizontal="center"/>
    </xf>
    <xf borderId="55" fillId="0" fontId="24" numFmtId="0" xfId="0" applyAlignment="1" applyBorder="1" applyFont="1">
      <alignment horizontal="center"/>
    </xf>
    <xf borderId="39" fillId="0" fontId="24" numFmtId="0" xfId="0" applyAlignment="1" applyBorder="1" applyFont="1">
      <alignment horizontal="center"/>
    </xf>
    <xf borderId="20" fillId="0" fontId="24" numFmtId="166" xfId="0" applyAlignment="1" applyBorder="1" applyFont="1" applyNumberFormat="1">
      <alignment horizontal="center"/>
    </xf>
    <xf borderId="19" fillId="0" fontId="24" numFmtId="0" xfId="0" applyAlignment="1" applyBorder="1" applyFont="1">
      <alignment horizontal="center"/>
    </xf>
    <xf borderId="21" fillId="0" fontId="24" numFmtId="0" xfId="0" applyAlignment="1" applyBorder="1" applyFont="1">
      <alignment horizontal="center"/>
    </xf>
    <xf borderId="3" fillId="0" fontId="24" numFmtId="166" xfId="0" applyAlignment="1" applyBorder="1" applyFont="1" applyNumberFormat="1">
      <alignment horizontal="center"/>
    </xf>
    <xf borderId="24" fillId="0" fontId="24" numFmtId="166" xfId="0" applyAlignment="1" applyBorder="1" applyFont="1" applyNumberFormat="1">
      <alignment horizontal="center"/>
    </xf>
    <xf borderId="25" fillId="0" fontId="24" numFmtId="0" xfId="0" applyAlignment="1" applyBorder="1" applyFont="1">
      <alignment horizontal="center"/>
    </xf>
    <xf borderId="39" fillId="0" fontId="24" numFmtId="0" xfId="0" applyBorder="1" applyFont="1"/>
    <xf borderId="21" fillId="0" fontId="24" numFmtId="0" xfId="0" applyBorder="1" applyFont="1"/>
    <xf borderId="46" fillId="0" fontId="24" numFmtId="166" xfId="0" applyAlignment="1" applyBorder="1" applyFont="1" applyNumberFormat="1">
      <alignment horizontal="center"/>
    </xf>
    <xf borderId="29" fillId="0" fontId="24" numFmtId="0" xfId="0" applyAlignment="1" applyBorder="1" applyFont="1">
      <alignment horizontal="center"/>
    </xf>
    <xf borderId="25" fillId="0" fontId="24" numFmtId="0" xfId="0" applyBorder="1" applyFont="1"/>
    <xf borderId="19" fillId="6" fontId="1" numFmtId="0" xfId="0" applyAlignment="1" applyBorder="1" applyFont="1">
      <alignment horizontal="center" shrinkToFit="0" vertical="center" wrapText="0"/>
    </xf>
    <xf borderId="61" fillId="0" fontId="5" numFmtId="0" xfId="0" applyBorder="1" applyFont="1"/>
    <xf borderId="0" fillId="10" fontId="3" numFmtId="0" xfId="0" applyAlignment="1" applyFont="1">
      <alignment horizontal="center" vertical="center"/>
    </xf>
    <xf borderId="19" fillId="21" fontId="1" numFmtId="0" xfId="0" applyAlignment="1" applyBorder="1" applyFill="1" applyFont="1">
      <alignment horizontal="center" shrinkToFit="0" vertical="center" wrapText="0"/>
    </xf>
    <xf borderId="19" fillId="5" fontId="1" numFmtId="0" xfId="0" applyAlignment="1" applyBorder="1" applyFont="1">
      <alignment horizontal="center" shrinkToFit="0" vertical="center" wrapText="0"/>
    </xf>
    <xf borderId="0" fillId="10" fontId="4" numFmtId="0" xfId="0" applyAlignment="1" applyFont="1">
      <alignment horizontal="center" vertical="center"/>
    </xf>
    <xf borderId="18" fillId="10" fontId="3" numFmtId="0" xfId="0" applyAlignment="1" applyBorder="1" applyFont="1">
      <alignment vertical="center"/>
    </xf>
    <xf borderId="18" fillId="3" fontId="13" numFmtId="0" xfId="0" applyAlignment="1" applyBorder="1" applyFont="1">
      <alignment readingOrder="0" vertical="center"/>
    </xf>
    <xf borderId="18" fillId="0" fontId="15" numFmtId="3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18" fillId="3" fontId="13" numFmtId="0" xfId="0" applyAlignment="1" applyBorder="1" applyFont="1">
      <alignment vertical="center"/>
    </xf>
    <xf borderId="18" fillId="3" fontId="13" numFmtId="0" xfId="0" applyAlignment="1" applyBorder="1" applyFont="1">
      <alignment horizontal="center" vertical="center"/>
    </xf>
    <xf borderId="14" fillId="18" fontId="26" numFmtId="0" xfId="0" applyAlignment="1" applyBorder="1" applyFont="1">
      <alignment horizontal="center" shrinkToFit="0" wrapText="1"/>
    </xf>
    <xf borderId="38" fillId="3" fontId="13" numFmtId="0" xfId="0" applyAlignment="1" applyBorder="1" applyFont="1">
      <alignment horizontal="center" readingOrder="0" vertical="center"/>
    </xf>
    <xf borderId="39" fillId="0" fontId="28" numFmtId="3" xfId="0" applyAlignment="1" applyBorder="1" applyFont="1" applyNumberFormat="1">
      <alignment horizontal="center" readingOrder="0" shrinkToFit="0" vertical="center" wrapText="1"/>
    </xf>
    <xf borderId="37" fillId="0" fontId="28" numFmtId="3" xfId="0" applyAlignment="1" applyBorder="1" applyFont="1" applyNumberFormat="1">
      <alignment horizontal="center" shrinkToFit="0" vertical="center" wrapText="1"/>
    </xf>
    <xf borderId="21" fillId="0" fontId="28" numFmtId="165" xfId="0" applyAlignment="1" applyBorder="1" applyFont="1" applyNumberFormat="1">
      <alignment horizontal="center" readingOrder="0" shrinkToFit="0" vertical="center" wrapText="1"/>
    </xf>
    <xf borderId="62" fillId="0" fontId="28" numFmtId="3" xfId="0" applyAlignment="1" applyBorder="1" applyFont="1" applyNumberFormat="1">
      <alignment horizontal="center" shrinkToFit="0" vertical="center" wrapText="1"/>
    </xf>
    <xf borderId="37" fillId="3" fontId="13" numFmtId="0" xfId="0" applyAlignment="1" applyBorder="1" applyFont="1">
      <alignment readingOrder="0" vertical="center"/>
    </xf>
    <xf borderId="39" fillId="0" fontId="28" numFmtId="165" xfId="0" applyAlignment="1" applyBorder="1" applyFont="1" applyNumberFormat="1">
      <alignment horizontal="center" readingOrder="0" shrinkToFit="0" vertical="center" wrapText="1"/>
    </xf>
    <xf borderId="21" fillId="0" fontId="28" numFmtId="3" xfId="0" applyAlignment="1" applyBorder="1" applyFont="1" applyNumberFormat="1">
      <alignment horizontal="center" readingOrder="0" shrinkToFit="0" vertical="center" wrapText="1"/>
    </xf>
    <xf borderId="20" fillId="0" fontId="28" numFmtId="3" xfId="0" applyAlignment="1" applyBorder="1" applyFont="1" applyNumberFormat="1">
      <alignment horizontal="center" shrinkToFit="0" vertical="center" wrapText="1"/>
    </xf>
    <xf borderId="17" fillId="0" fontId="28" numFmtId="165" xfId="0" applyAlignment="1" applyBorder="1" applyFont="1" applyNumberFormat="1">
      <alignment horizontal="center" readingOrder="0" shrinkToFit="0" vertical="center" wrapText="1"/>
    </xf>
    <xf borderId="63" fillId="0" fontId="28" numFmtId="3" xfId="0" applyAlignment="1" applyBorder="1" applyFont="1" applyNumberFormat="1">
      <alignment horizontal="center" shrinkToFit="0" vertical="center" wrapText="1"/>
    </xf>
    <xf borderId="20" fillId="0" fontId="28" numFmtId="165" xfId="0" applyAlignment="1" applyBorder="1" applyFont="1" applyNumberFormat="1">
      <alignment horizontal="left" readingOrder="0" shrinkToFit="0" vertical="center" wrapText="1"/>
    </xf>
    <xf borderId="44" fillId="3" fontId="13" numFmtId="0" xfId="0" applyAlignment="1" applyBorder="1" applyFont="1">
      <alignment readingOrder="0" vertical="center"/>
    </xf>
    <xf borderId="45" fillId="3" fontId="13" numFmtId="0" xfId="0" applyAlignment="1" applyBorder="1" applyFont="1">
      <alignment horizontal="center" readingOrder="0" vertical="center"/>
    </xf>
    <xf borderId="25" fillId="0" fontId="28" numFmtId="3" xfId="0" applyAlignment="1" applyBorder="1" applyFont="1" applyNumberFormat="1">
      <alignment horizontal="center" readingOrder="0" shrinkToFit="0" vertical="center" wrapText="1"/>
    </xf>
    <xf borderId="24" fillId="0" fontId="28" numFmtId="3" xfId="0" applyAlignment="1" applyBorder="1" applyFont="1" applyNumberFormat="1">
      <alignment horizontal="center" shrinkToFit="0" vertical="center" wrapText="1"/>
    </xf>
    <xf borderId="64" fillId="0" fontId="28" numFmtId="3" xfId="0" applyAlignment="1" applyBorder="1" applyFont="1" applyNumberFormat="1">
      <alignment horizontal="center" shrinkToFit="0" vertical="center" wrapText="1"/>
    </xf>
    <xf borderId="25" fillId="0" fontId="28" numFmtId="165" xfId="0" applyAlignment="1" applyBorder="1" applyFont="1" applyNumberFormat="1">
      <alignment horizontal="center" readingOrder="0" shrinkToFit="0" vertical="center" wrapText="1"/>
    </xf>
    <xf borderId="17" fillId="0" fontId="28" numFmtId="3" xfId="0" applyAlignment="1" applyBorder="1" applyFont="1" applyNumberFormat="1">
      <alignment horizontal="center" readingOrder="0" shrinkToFit="0" vertical="center" wrapText="1"/>
    </xf>
    <xf borderId="3" fillId="0" fontId="28" numFmtId="3" xfId="0" applyAlignment="1" applyBorder="1" applyFont="1" applyNumberFormat="1">
      <alignment horizontal="center" shrinkToFit="0" vertical="center" wrapText="1"/>
    </xf>
    <xf borderId="37" fillId="3" fontId="28" numFmtId="0" xfId="0" applyAlignment="1" applyBorder="1" applyFont="1">
      <alignment readingOrder="0" vertical="center"/>
    </xf>
    <xf borderId="38" fillId="3" fontId="28" numFmtId="0" xfId="0" applyAlignment="1" applyBorder="1" applyFont="1">
      <alignment horizontal="center" readingOrder="0" vertical="center"/>
    </xf>
    <xf borderId="37" fillId="0" fontId="28" numFmtId="165" xfId="0" applyAlignment="1" applyBorder="1" applyFont="1" applyNumberFormat="1">
      <alignment horizontal="left" readingOrder="0" shrinkToFit="0" vertical="center" wrapText="1"/>
    </xf>
    <xf borderId="3" fillId="0" fontId="28" numFmtId="165" xfId="0" applyAlignment="1" applyBorder="1" applyFont="1" applyNumberFormat="1">
      <alignment horizontal="left" readingOrder="0" shrinkToFit="0" vertical="center" wrapText="1"/>
    </xf>
    <xf borderId="20" fillId="3" fontId="28" numFmtId="0" xfId="0" applyAlignment="1" applyBorder="1" applyFont="1">
      <alignment readingOrder="0" vertical="center"/>
    </xf>
    <xf borderId="43" fillId="3" fontId="28" numFmtId="0" xfId="0" applyAlignment="1" applyBorder="1" applyFont="1">
      <alignment horizontal="center" readingOrder="0" vertical="center"/>
    </xf>
    <xf borderId="42" fillId="3" fontId="28" numFmtId="0" xfId="0" applyAlignment="1" applyBorder="1" applyFont="1">
      <alignment readingOrder="0" vertical="center"/>
    </xf>
    <xf borderId="44" fillId="3" fontId="28" numFmtId="0" xfId="0" applyAlignment="1" applyBorder="1" applyFont="1">
      <alignment readingOrder="0" vertical="center"/>
    </xf>
    <xf borderId="45" fillId="3" fontId="28" numFmtId="0" xfId="0" applyAlignment="1" applyBorder="1" applyFont="1">
      <alignment horizontal="center" readingOrder="0" vertical="center"/>
    </xf>
    <xf borderId="24" fillId="0" fontId="28" numFmtId="165" xfId="0" applyAlignment="1" applyBorder="1" applyFont="1" applyNumberFormat="1">
      <alignment horizontal="left" readingOrder="0" shrinkToFit="0" vertical="center" wrapText="1"/>
    </xf>
    <xf borderId="24" fillId="3" fontId="28" numFmtId="0" xfId="0" applyAlignment="1" applyBorder="1" applyFont="1">
      <alignment readingOrder="0" vertical="center"/>
    </xf>
    <xf borderId="22" fillId="3" fontId="28" numFmtId="0" xfId="0" applyAlignment="1" applyBorder="1" applyFont="1">
      <alignment horizontal="center" readingOrder="0" vertical="center"/>
    </xf>
    <xf borderId="39" fillId="0" fontId="28" numFmtId="3" xfId="0" applyAlignment="1" applyBorder="1" applyFont="1" applyNumberFormat="1">
      <alignment horizontal="center" shrinkToFit="0" vertical="center" wrapText="1"/>
    </xf>
    <xf borderId="21" fillId="0" fontId="28" numFmtId="3" xfId="0" applyAlignment="1" applyBorder="1" applyFont="1" applyNumberFormat="1">
      <alignment horizontal="center" shrinkToFit="0" vertical="center" wrapText="1"/>
    </xf>
    <xf borderId="25" fillId="0" fontId="28" numFmtId="3" xfId="0" applyAlignment="1" applyBorder="1" applyFont="1" applyNumberFormat="1">
      <alignment horizontal="center" shrinkToFit="0" vertical="center" wrapText="1"/>
    </xf>
    <xf borderId="17" fillId="0" fontId="28" numFmtId="3" xfId="0" applyAlignment="1" applyBorder="1" applyFont="1" applyNumberFormat="1">
      <alignment horizontal="center" shrinkToFit="0" vertical="center" wrapText="1"/>
    </xf>
    <xf borderId="24" fillId="0" fontId="28" numFmtId="165" xfId="0" applyAlignment="1" applyBorder="1" applyFont="1" applyNumberFormat="1">
      <alignment horizontal="center" readingOrder="0" shrinkToFit="0" vertical="center" wrapText="1"/>
    </xf>
    <xf borderId="37" fillId="0" fontId="28" numFmtId="165" xfId="0" applyAlignment="1" applyBorder="1" applyFont="1" applyNumberFormat="1">
      <alignment horizontal="center" shrinkToFit="0" wrapText="1"/>
    </xf>
    <xf borderId="38" fillId="0" fontId="28" numFmtId="3" xfId="0" applyAlignment="1" applyBorder="1" applyFont="1" applyNumberFormat="1">
      <alignment horizontal="center" shrinkToFit="0" wrapText="1"/>
    </xf>
    <xf borderId="39" fillId="0" fontId="28" numFmtId="3" xfId="0" applyAlignment="1" applyBorder="1" applyFont="1" applyNumberFormat="1">
      <alignment horizontal="center" shrinkToFit="0" wrapText="1"/>
    </xf>
    <xf borderId="37" fillId="0" fontId="28" numFmtId="3" xfId="0" applyAlignment="1" applyBorder="1" applyFont="1" applyNumberFormat="1">
      <alignment horizontal="center" shrinkToFit="0" wrapText="1"/>
    </xf>
    <xf borderId="39" fillId="0" fontId="28" numFmtId="165" xfId="0" applyAlignment="1" applyBorder="1" applyFont="1" applyNumberFormat="1">
      <alignment horizontal="center" shrinkToFit="0" wrapText="1"/>
    </xf>
    <xf borderId="3" fillId="0" fontId="28" numFmtId="165" xfId="0" applyAlignment="1" applyBorder="1" applyFont="1" applyNumberFormat="1">
      <alignment horizontal="center" shrinkToFit="0" wrapText="1"/>
    </xf>
    <xf borderId="18" fillId="0" fontId="28" numFmtId="3" xfId="0" applyAlignment="1" applyBorder="1" applyFont="1" applyNumberFormat="1">
      <alignment horizontal="center" shrinkToFit="0" wrapText="1"/>
    </xf>
    <xf borderId="21" fillId="0" fontId="28" numFmtId="3" xfId="0" applyAlignment="1" applyBorder="1" applyFont="1" applyNumberFormat="1">
      <alignment horizontal="center" shrinkToFit="0" wrapText="1"/>
    </xf>
    <xf borderId="20" fillId="0" fontId="28" numFmtId="3" xfId="0" applyAlignment="1" applyBorder="1" applyFont="1" applyNumberFormat="1">
      <alignment horizontal="center" shrinkToFit="0" wrapText="1"/>
    </xf>
    <xf borderId="17" fillId="0" fontId="28" numFmtId="165" xfId="0" applyAlignment="1" applyBorder="1" applyFont="1" applyNumberFormat="1">
      <alignment horizontal="center" shrinkToFit="0" wrapText="1"/>
    </xf>
    <xf borderId="20" fillId="0" fontId="28" numFmtId="165" xfId="0" applyAlignment="1" applyBorder="1" applyFont="1" applyNumberFormat="1">
      <alignment horizontal="center" shrinkToFit="0" wrapText="1"/>
    </xf>
    <xf borderId="21" fillId="0" fontId="28" numFmtId="165" xfId="0" applyAlignment="1" applyBorder="1" applyFont="1" applyNumberFormat="1">
      <alignment horizontal="center" shrinkToFit="0" wrapText="1"/>
    </xf>
    <xf borderId="15" fillId="0" fontId="28" numFmtId="3" xfId="0" applyAlignment="1" applyBorder="1" applyFont="1" applyNumberFormat="1">
      <alignment horizontal="center" shrinkToFit="0" wrapText="1"/>
    </xf>
    <xf borderId="24" fillId="0" fontId="28" numFmtId="165" xfId="0" applyAlignment="1" applyBorder="1" applyFont="1" applyNumberFormat="1">
      <alignment horizontal="center" shrinkToFit="0" wrapText="1"/>
    </xf>
    <xf borderId="22" fillId="0" fontId="28" numFmtId="3" xfId="0" applyAlignment="1" applyBorder="1" applyFont="1" applyNumberFormat="1">
      <alignment horizontal="center" shrinkToFit="0" wrapText="1"/>
    </xf>
    <xf borderId="25" fillId="0" fontId="28" numFmtId="3" xfId="0" applyAlignment="1" applyBorder="1" applyFont="1" applyNumberFormat="1">
      <alignment horizontal="center" shrinkToFit="0" wrapText="1"/>
    </xf>
    <xf borderId="24" fillId="0" fontId="28" numFmtId="3" xfId="0" applyAlignment="1" applyBorder="1" applyFont="1" applyNumberFormat="1">
      <alignment horizontal="center" shrinkToFit="0" wrapText="1"/>
    </xf>
    <xf borderId="25" fillId="0" fontId="28" numFmtId="165" xfId="0" applyAlignment="1" applyBorder="1" applyFont="1" applyNumberFormat="1">
      <alignment horizontal="center" shrinkToFit="0" wrapText="1"/>
    </xf>
    <xf borderId="17" fillId="0" fontId="28" numFmtId="3" xfId="0" applyAlignment="1" applyBorder="1" applyFont="1" applyNumberFormat="1">
      <alignment horizontal="center" shrinkToFit="0" wrapText="1"/>
    </xf>
    <xf borderId="3" fillId="0" fontId="28" numFmtId="3" xfId="0" applyAlignment="1" applyBorder="1" applyFont="1" applyNumberFormat="1">
      <alignment horizontal="center" shrinkToFit="0" wrapText="1"/>
    </xf>
    <xf borderId="65" fillId="18" fontId="26" numFmtId="0" xfId="0" applyAlignment="1" applyBorder="1" applyFont="1">
      <alignment horizontal="center" vertical="center"/>
    </xf>
    <xf borderId="66" fillId="13" fontId="7" numFmtId="0" xfId="0" applyAlignment="1" applyBorder="1" applyFont="1">
      <alignment horizontal="center" shrinkToFit="0" vertical="center" wrapText="1"/>
    </xf>
    <xf borderId="67" fillId="13" fontId="7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vertical="center"/>
    </xf>
    <xf borderId="62" fillId="0" fontId="29" numFmtId="0" xfId="0" applyAlignment="1" applyBorder="1" applyFont="1">
      <alignment vertical="center"/>
    </xf>
    <xf borderId="37" fillId="0" fontId="29" numFmtId="0" xfId="0" applyAlignment="1" applyBorder="1" applyFont="1">
      <alignment horizontal="center" vertical="center"/>
    </xf>
    <xf borderId="28" fillId="0" fontId="29" numFmtId="0" xfId="0" applyAlignment="1" applyBorder="1" applyFont="1">
      <alignment horizontal="center" shrinkToFit="0" vertical="center" wrapText="1"/>
    </xf>
    <xf borderId="68" fillId="0" fontId="29" numFmtId="0" xfId="0" applyAlignment="1" applyBorder="1" applyFont="1">
      <alignment horizontal="center" shrinkToFit="0" vertical="center" wrapText="1"/>
    </xf>
    <xf borderId="63" fillId="0" fontId="29" numFmtId="0" xfId="0" applyAlignment="1" applyBorder="1" applyFont="1">
      <alignment vertical="center"/>
    </xf>
    <xf borderId="24" fillId="0" fontId="29" numFmtId="0" xfId="0" applyAlignment="1" applyBorder="1" applyFont="1">
      <alignment horizontal="center" vertical="center"/>
    </xf>
    <xf borderId="69" fillId="0" fontId="29" numFmtId="0" xfId="0" applyAlignment="1" applyBorder="1" applyFont="1">
      <alignment horizontal="center" shrinkToFit="0" vertical="center" wrapText="1"/>
    </xf>
    <xf borderId="70" fillId="0" fontId="29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horizontal="center" vertical="center"/>
    </xf>
    <xf borderId="1" fillId="18" fontId="26" numFmtId="0" xfId="0" applyAlignment="1" applyBorder="1" applyFont="1">
      <alignment horizontal="center" vertical="center"/>
    </xf>
    <xf borderId="12" fillId="18" fontId="26" numFmtId="166" xfId="0" applyAlignment="1" applyBorder="1" applyFont="1" applyNumberFormat="1">
      <alignment horizontal="center" shrinkToFit="0" vertical="center" wrapText="1"/>
    </xf>
    <xf borderId="66" fillId="18" fontId="26" numFmtId="0" xfId="0" applyAlignment="1" applyBorder="1" applyFont="1">
      <alignment horizontal="center" vertical="center"/>
    </xf>
    <xf borderId="37" fillId="8" fontId="29" numFmtId="0" xfId="0" applyBorder="1" applyFont="1"/>
    <xf borderId="38" fillId="8" fontId="29" numFmtId="0" xfId="0" applyAlignment="1" applyBorder="1" applyFont="1">
      <alignment horizontal="center" vertical="center"/>
    </xf>
    <xf borderId="71" fillId="22" fontId="29" numFmtId="0" xfId="0" applyAlignment="1" applyBorder="1" applyFill="1" applyFont="1">
      <alignment horizontal="center" vertical="center"/>
    </xf>
    <xf borderId="38" fillId="22" fontId="29" numFmtId="0" xfId="0" applyAlignment="1" applyBorder="1" applyFont="1">
      <alignment horizontal="center" vertical="center"/>
    </xf>
    <xf borderId="72" fillId="8" fontId="29" numFmtId="0" xfId="0" applyAlignment="1" applyBorder="1" applyFont="1">
      <alignment horizontal="center" vertical="center"/>
    </xf>
    <xf borderId="20" fillId="8" fontId="29" numFmtId="0" xfId="0" applyBorder="1" applyFont="1"/>
    <xf borderId="18" fillId="8" fontId="29" numFmtId="0" xfId="0" applyAlignment="1" applyBorder="1" applyFont="1">
      <alignment horizontal="center" vertical="center"/>
    </xf>
    <xf borderId="73" fillId="8" fontId="29" numFmtId="0" xfId="0" applyAlignment="1" applyBorder="1" applyFont="1">
      <alignment horizontal="center" vertical="center"/>
    </xf>
    <xf borderId="18" fillId="22" fontId="29" numFmtId="0" xfId="0" applyAlignment="1" applyBorder="1" applyFont="1">
      <alignment horizontal="center" vertical="center"/>
    </xf>
    <xf borderId="74" fillId="22" fontId="29" numFmtId="0" xfId="0" applyAlignment="1" applyBorder="1" applyFont="1">
      <alignment horizontal="center" vertical="center"/>
    </xf>
    <xf borderId="73" fillId="22" fontId="29" numFmtId="0" xfId="0" applyAlignment="1" applyBorder="1" applyFont="1">
      <alignment horizontal="center" vertical="center"/>
    </xf>
    <xf borderId="74" fillId="8" fontId="29" numFmtId="0" xfId="0" applyAlignment="1" applyBorder="1" applyFont="1">
      <alignment horizontal="center" vertical="center"/>
    </xf>
    <xf borderId="20" fillId="22" fontId="29" numFmtId="0" xfId="0" applyBorder="1" applyFont="1"/>
    <xf borderId="28" fillId="0" fontId="29" numFmtId="0" xfId="0" applyAlignment="1" applyBorder="1" applyFont="1">
      <alignment horizontal="center" vertical="center"/>
    </xf>
    <xf borderId="18" fillId="0" fontId="29" numFmtId="0" xfId="0" applyAlignment="1" applyBorder="1" applyFont="1">
      <alignment horizontal="center" vertical="center"/>
    </xf>
    <xf borderId="68" fillId="0" fontId="29" numFmtId="0" xfId="0" applyAlignment="1" applyBorder="1" applyFont="1">
      <alignment horizontal="center" vertical="center"/>
    </xf>
    <xf borderId="24" fillId="8" fontId="29" numFmtId="0" xfId="0" applyBorder="1" applyFont="1"/>
    <xf borderId="22" fillId="8" fontId="29" numFmtId="0" xfId="0" applyAlignment="1" applyBorder="1" applyFont="1">
      <alignment horizontal="center" vertical="center"/>
    </xf>
    <xf borderId="75" fillId="22" fontId="29" numFmtId="0" xfId="0" applyAlignment="1" applyBorder="1" applyFont="1">
      <alignment horizontal="center" vertical="center"/>
    </xf>
    <xf borderId="22" fillId="22" fontId="29" numFmtId="0" xfId="0" applyAlignment="1" applyBorder="1" applyFont="1">
      <alignment horizontal="center" vertical="center"/>
    </xf>
    <xf borderId="76" fillId="8" fontId="29" numFmtId="0" xfId="0" applyAlignment="1" applyBorder="1" applyFont="1">
      <alignment horizontal="center" vertical="center"/>
    </xf>
    <xf borderId="37" fillId="0" fontId="29" numFmtId="0" xfId="0" applyBorder="1" applyFont="1"/>
    <xf borderId="38" fillId="0" fontId="29" numFmtId="0" xfId="0" applyAlignment="1" applyBorder="1" applyFont="1">
      <alignment horizontal="center" vertical="center"/>
    </xf>
    <xf borderId="77" fillId="0" fontId="29" numFmtId="0" xfId="0" applyAlignment="1" applyBorder="1" applyFont="1">
      <alignment horizontal="center"/>
    </xf>
    <xf borderId="78" fillId="0" fontId="29" numFmtId="0" xfId="0" applyAlignment="1" applyBorder="1" applyFont="1">
      <alignment horizontal="center"/>
    </xf>
    <xf borderId="20" fillId="0" fontId="29" numFmtId="0" xfId="0" applyBorder="1" applyFont="1"/>
    <xf borderId="28" fillId="0" fontId="29" numFmtId="0" xfId="0" applyAlignment="1" applyBorder="1" applyFont="1">
      <alignment horizontal="center"/>
    </xf>
    <xf borderId="68" fillId="0" fontId="29" numFmtId="0" xfId="0" applyAlignment="1" applyBorder="1" applyFont="1">
      <alignment horizontal="center"/>
    </xf>
    <xf borderId="24" fillId="0" fontId="29" numFmtId="0" xfId="0" applyBorder="1" applyFont="1"/>
    <xf borderId="22" fillId="0" fontId="29" numFmtId="0" xfId="0" applyAlignment="1" applyBorder="1" applyFont="1">
      <alignment horizontal="center" vertical="center"/>
    </xf>
    <xf borderId="69" fillId="0" fontId="29" numFmtId="0" xfId="0" applyAlignment="1" applyBorder="1" applyFont="1">
      <alignment horizontal="center"/>
    </xf>
    <xf borderId="70" fillId="0" fontId="29" numFmtId="0" xfId="0" applyAlignment="1" applyBorder="1" applyFont="1">
      <alignment horizontal="center"/>
    </xf>
    <xf borderId="1" fillId="18" fontId="26" numFmtId="0" xfId="0" applyAlignment="1" applyBorder="1" applyFont="1">
      <alignment horizontal="center"/>
    </xf>
    <xf borderId="66" fillId="13" fontId="7" numFmtId="0" xfId="0" applyAlignment="1" applyBorder="1" applyFont="1">
      <alignment horizontal="center" shrinkToFit="0" wrapText="1"/>
    </xf>
    <xf borderId="12" fillId="13" fontId="7" numFmtId="0" xfId="0" applyAlignment="1" applyBorder="1" applyFont="1">
      <alignment horizontal="center" shrinkToFit="0" wrapText="1"/>
    </xf>
    <xf borderId="14" fillId="13" fontId="7" numFmtId="0" xfId="0" applyAlignment="1" applyBorder="1" applyFont="1">
      <alignment horizontal="center" shrinkToFit="0" wrapText="1"/>
    </xf>
    <xf borderId="51" fillId="0" fontId="29" numFmtId="0" xfId="0" applyBorder="1" applyFont="1"/>
    <xf borderId="37" fillId="0" fontId="29" numFmtId="0" xfId="0" applyAlignment="1" applyBorder="1" applyFont="1">
      <alignment horizontal="center"/>
    </xf>
    <xf borderId="28" fillId="0" fontId="29" numFmtId="0" xfId="0" applyAlignment="1" applyBorder="1" applyFont="1">
      <alignment horizontal="center" shrinkToFit="0" wrapText="1"/>
    </xf>
    <xf borderId="68" fillId="0" fontId="29" numFmtId="0" xfId="0" applyAlignment="1" applyBorder="1" applyFont="1">
      <alignment horizontal="center" shrinkToFit="0" wrapText="1"/>
    </xf>
    <xf borderId="79" fillId="0" fontId="29" numFmtId="0" xfId="0" applyBorder="1" applyFont="1"/>
    <xf borderId="20" fillId="0" fontId="29" numFmtId="0" xfId="0" applyAlignment="1" applyBorder="1" applyFont="1">
      <alignment horizontal="center"/>
    </xf>
    <xf borderId="54" fillId="0" fontId="29" numFmtId="0" xfId="0" applyBorder="1" applyFont="1"/>
    <xf borderId="24" fillId="0" fontId="29" numFmtId="0" xfId="0" applyAlignment="1" applyBorder="1" applyFont="1">
      <alignment horizontal="center"/>
    </xf>
    <xf borderId="69" fillId="0" fontId="29" numFmtId="0" xfId="0" applyAlignment="1" applyBorder="1" applyFont="1">
      <alignment horizontal="center" shrinkToFit="0" wrapText="1"/>
    </xf>
    <xf borderId="70" fillId="0" fontId="29" numFmtId="0" xfId="0" applyAlignment="1" applyBorder="1" applyFont="1">
      <alignment horizontal="center" shrinkToFit="0" wrapText="1"/>
    </xf>
    <xf borderId="12" fillId="18" fontId="26" numFmtId="0" xfId="0" applyAlignment="1" applyBorder="1" applyFont="1">
      <alignment horizontal="center"/>
    </xf>
    <xf borderId="14" fillId="18" fontId="26" numFmtId="0" xfId="0" applyAlignment="1" applyBorder="1" applyFont="1">
      <alignment horizontal="center"/>
    </xf>
    <xf borderId="0" fillId="0" fontId="28" numFmtId="0" xfId="0" applyFont="1"/>
    <xf borderId="3" fillId="0" fontId="28" numFmtId="0" xfId="0" applyBorder="1" applyFont="1"/>
    <xf borderId="43" fillId="22" fontId="28" numFmtId="0" xfId="0" applyAlignment="1" applyBorder="1" applyFont="1">
      <alignment horizontal="center"/>
    </xf>
    <xf borderId="43" fillId="8" fontId="28" numFmtId="0" xfId="0" applyAlignment="1" applyBorder="1" applyFont="1">
      <alignment horizontal="center"/>
    </xf>
    <xf borderId="57" fillId="8" fontId="28" numFmtId="166" xfId="0" applyAlignment="1" applyBorder="1" applyFont="1" applyNumberFormat="1">
      <alignment horizontal="center"/>
    </xf>
    <xf borderId="20" fillId="0" fontId="28" numFmtId="0" xfId="0" applyBorder="1" applyFont="1"/>
    <xf borderId="18" fillId="8" fontId="28" numFmtId="0" xfId="0" applyAlignment="1" applyBorder="1" applyFont="1">
      <alignment horizontal="center"/>
    </xf>
    <xf borderId="21" fillId="8" fontId="28" numFmtId="166" xfId="0" applyAlignment="1" applyBorder="1" applyFont="1" applyNumberFormat="1">
      <alignment horizontal="center"/>
    </xf>
    <xf borderId="18" fillId="22" fontId="28" numFmtId="0" xfId="0" applyAlignment="1" applyBorder="1" applyFont="1">
      <alignment horizontal="center"/>
    </xf>
    <xf borderId="21" fillId="22" fontId="28" numFmtId="166" xfId="0" applyAlignment="1" applyBorder="1" applyFont="1" applyNumberFormat="1">
      <alignment horizontal="center"/>
    </xf>
    <xf borderId="24" fillId="0" fontId="28" numFmtId="0" xfId="0" applyBorder="1" applyFont="1"/>
    <xf borderId="22" fillId="8" fontId="28" numFmtId="0" xfId="0" applyAlignment="1" applyBorder="1" applyFont="1">
      <alignment horizontal="center"/>
    </xf>
    <xf borderId="22" fillId="22" fontId="28" numFmtId="0" xfId="0" applyAlignment="1" applyBorder="1" applyFont="1">
      <alignment horizontal="center"/>
    </xf>
    <xf borderId="25" fillId="8" fontId="28" numFmtId="166" xfId="0" applyAlignment="1" applyBorder="1" applyFont="1" applyNumberFormat="1">
      <alignment horizontal="center"/>
    </xf>
    <xf borderId="0" fillId="0" fontId="28" numFmtId="0" xfId="0" applyAlignment="1" applyFont="1">
      <alignment horizontal="center"/>
    </xf>
    <xf borderId="1" fillId="13" fontId="27" numFmtId="0" xfId="0" applyAlignment="1" applyBorder="1" applyFont="1">
      <alignment horizontal="center" shrinkToFit="0" wrapText="1"/>
    </xf>
    <xf borderId="12" fillId="13" fontId="27" numFmtId="0" xfId="0" applyAlignment="1" applyBorder="1" applyFont="1">
      <alignment horizontal="center" shrinkToFit="0" wrapText="1"/>
    </xf>
    <xf borderId="14" fillId="13" fontId="27" numFmtId="0" xfId="0" applyAlignment="1" applyBorder="1" applyFont="1">
      <alignment horizontal="center" shrinkToFit="0" wrapText="1"/>
    </xf>
    <xf borderId="37" fillId="0" fontId="24" numFmtId="0" xfId="0" applyAlignment="1" applyBorder="1" applyFont="1">
      <alignment horizontal="center"/>
    </xf>
    <xf borderId="38" fillId="0" fontId="24" numFmtId="0" xfId="0" applyAlignment="1" applyBorder="1" applyFont="1">
      <alignment horizontal="center"/>
    </xf>
    <xf borderId="3" fillId="0" fontId="24" numFmtId="0" xfId="0" applyAlignment="1" applyBorder="1" applyFont="1">
      <alignment horizontal="center"/>
    </xf>
    <xf borderId="15" fillId="0" fontId="24" numFmtId="0" xfId="0" applyAlignment="1" applyBorder="1" applyFont="1">
      <alignment horizontal="center"/>
    </xf>
    <xf borderId="17" fillId="0" fontId="24" numFmtId="0" xfId="0" applyAlignment="1" applyBorder="1" applyFont="1">
      <alignment horizontal="center"/>
    </xf>
    <xf borderId="20" fillId="0" fontId="24" numFmtId="0" xfId="0" applyAlignment="1" applyBorder="1" applyFont="1">
      <alignment horizontal="center"/>
    </xf>
    <xf borderId="18" fillId="0" fontId="24" numFmtId="0" xfId="0" applyAlignment="1" applyBorder="1" applyFont="1">
      <alignment horizontal="center"/>
    </xf>
    <xf borderId="18" fillId="0" fontId="24" numFmtId="0" xfId="0" applyAlignment="1" applyBorder="1" applyFont="1">
      <alignment horizontal="center" readingOrder="0"/>
    </xf>
    <xf borderId="21" fillId="0" fontId="24" numFmtId="0" xfId="0" applyAlignment="1" applyBorder="1" applyFont="1">
      <alignment horizontal="center" readingOrder="0"/>
    </xf>
    <xf borderId="18" fillId="0" fontId="4" numFmtId="0" xfId="0" applyAlignment="1" applyBorder="1" applyFont="1">
      <alignment horizontal="center" readingOrder="0" vertical="center"/>
    </xf>
    <xf borderId="21" fillId="0" fontId="4" numFmtId="0" xfId="0" applyAlignment="1" applyBorder="1" applyFont="1">
      <alignment horizontal="center" readingOrder="0" vertical="center"/>
    </xf>
    <xf borderId="20" fillId="0" fontId="24" numFmtId="0" xfId="0" applyAlignment="1" applyBorder="1" applyFont="1">
      <alignment horizontal="center" readingOrder="0"/>
    </xf>
    <xf borderId="50" fillId="18" fontId="27" numFmtId="0" xfId="0" applyAlignment="1" applyBorder="1" applyFont="1">
      <alignment horizontal="center"/>
    </xf>
    <xf borderId="66" fillId="18" fontId="27" numFmtId="0" xfId="0" applyAlignment="1" applyBorder="1" applyFont="1">
      <alignment horizontal="center"/>
    </xf>
    <xf borderId="12" fillId="18" fontId="27" numFmtId="0" xfId="0" applyAlignment="1" applyBorder="1" applyFont="1">
      <alignment horizontal="center"/>
    </xf>
    <xf borderId="67" fillId="18" fontId="27" numFmtId="0" xfId="0" applyAlignment="1" applyBorder="1" applyFont="1">
      <alignment horizontal="center"/>
    </xf>
    <xf borderId="51" fillId="23" fontId="27" numFmtId="0" xfId="0" applyBorder="1" applyFill="1" applyFont="1"/>
    <xf borderId="77" fillId="0" fontId="24" numFmtId="0" xfId="0" applyAlignment="1" applyBorder="1" applyFont="1">
      <alignment readingOrder="0"/>
    </xf>
    <xf borderId="38" fillId="0" fontId="24" numFmtId="0" xfId="0" applyAlignment="1" applyBorder="1" applyFont="1">
      <alignment readingOrder="0"/>
    </xf>
    <xf borderId="78" fillId="0" fontId="24" numFmtId="0" xfId="0" applyAlignment="1" applyBorder="1" applyFont="1">
      <alignment horizontal="center" readingOrder="0"/>
    </xf>
    <xf borderId="79" fillId="23" fontId="27" numFmtId="0" xfId="0" applyAlignment="1" applyBorder="1" applyFont="1">
      <alignment readingOrder="0"/>
    </xf>
    <xf borderId="28" fillId="0" fontId="24" numFmtId="0" xfId="0" applyAlignment="1" applyBorder="1" applyFont="1">
      <alignment readingOrder="0"/>
    </xf>
    <xf borderId="18" fillId="0" fontId="24" numFmtId="0" xfId="0" applyAlignment="1" applyBorder="1" applyFont="1">
      <alignment readingOrder="0"/>
    </xf>
    <xf borderId="68" fillId="0" fontId="24" numFmtId="0" xfId="0" applyAlignment="1" applyBorder="1" applyFont="1">
      <alignment horizontal="center" readingOrder="0"/>
    </xf>
    <xf borderId="53" fillId="23" fontId="27" numFmtId="0" xfId="0" applyAlignment="1" applyBorder="1" applyFont="1">
      <alignment readingOrder="0"/>
    </xf>
    <xf borderId="34" fillId="0" fontId="24" numFmtId="0" xfId="0" applyAlignment="1" applyBorder="1" applyFont="1">
      <alignment readingOrder="0"/>
    </xf>
    <xf borderId="15" fillId="0" fontId="24" numFmtId="0" xfId="0" applyAlignment="1" applyBorder="1" applyFont="1">
      <alignment readingOrder="0"/>
    </xf>
    <xf borderId="4" fillId="0" fontId="24" numFmtId="0" xfId="0" applyAlignment="1" applyBorder="1" applyFont="1">
      <alignment horizontal="center" readingOrder="0"/>
    </xf>
    <xf borderId="54" fillId="23" fontId="27" numFmtId="0" xfId="0" applyAlignment="1" applyBorder="1" applyFont="1">
      <alignment readingOrder="0"/>
    </xf>
    <xf borderId="69" fillId="0" fontId="24" numFmtId="0" xfId="0" applyAlignment="1" applyBorder="1" applyFont="1">
      <alignment readingOrder="0"/>
    </xf>
    <xf borderId="22" fillId="0" fontId="24" numFmtId="0" xfId="0" applyAlignment="1" applyBorder="1" applyFont="1">
      <alignment readingOrder="0"/>
    </xf>
    <xf borderId="70" fillId="0" fontId="24" numFmtId="0" xfId="0" applyAlignment="1" applyBorder="1" applyFont="1">
      <alignment horizontal="center" readingOrder="0"/>
    </xf>
    <xf borderId="78" fillId="0" fontId="24" numFmtId="0" xfId="0" applyAlignment="1" applyBorder="1" applyFont="1">
      <alignment horizontal="center"/>
    </xf>
    <xf borderId="79" fillId="23" fontId="27" numFmtId="0" xfId="0" applyBorder="1" applyFont="1"/>
    <xf borderId="68" fillId="0" fontId="24" numFmtId="0" xfId="0" applyAlignment="1" applyBorder="1" applyFont="1">
      <alignment horizontal="center"/>
    </xf>
    <xf borderId="53" fillId="23" fontId="27" numFmtId="0" xfId="0" applyBorder="1" applyFont="1"/>
    <xf borderId="4" fillId="0" fontId="24" numFmtId="0" xfId="0" applyAlignment="1" applyBorder="1" applyFont="1">
      <alignment horizontal="center"/>
    </xf>
    <xf borderId="54" fillId="23" fontId="27" numFmtId="0" xfId="0" applyBorder="1" applyFont="1"/>
    <xf borderId="70" fillId="0" fontId="24" numFmtId="0" xfId="0" applyAlignment="1" applyBorder="1" applyFont="1">
      <alignment horizontal="center"/>
    </xf>
    <xf borderId="18" fillId="0" fontId="24" numFmtId="0" xfId="0" applyBorder="1" applyFont="1"/>
    <xf borderId="28" fillId="0" fontId="24" numFmtId="0" xfId="0" applyBorder="1" applyFont="1"/>
    <xf borderId="34" fillId="0" fontId="24" numFmtId="0" xfId="0" applyBorder="1" applyFont="1"/>
    <xf borderId="15" fillId="0" fontId="24" numFmtId="0" xfId="0" applyBorder="1" applyFont="1"/>
    <xf borderId="69" fillId="0" fontId="24" numFmtId="0" xfId="0" applyBorder="1" applyFont="1"/>
    <xf borderId="22" fillId="0" fontId="24" numFmtId="0" xfId="0" applyBorder="1" applyFont="1"/>
    <xf borderId="77" fillId="0" fontId="24" numFmtId="0" xfId="0" applyBorder="1" applyFont="1"/>
    <xf borderId="38" fillId="0" fontId="24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Years Involved, Playoff Appearance and Champs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Past_Standings!$B$16:$B$17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Past_Standings!$A$18:$A$29</c:f>
            </c:strRef>
          </c:cat>
          <c:val>
            <c:numRef>
              <c:f>Past_Standings!$B$18:$B$29</c:f>
              <c:numCache/>
            </c:numRef>
          </c:val>
        </c:ser>
        <c:ser>
          <c:idx val="1"/>
          <c:order val="1"/>
          <c:tx>
            <c:strRef>
              <c:f>Past_Standings!$D$16:$D$17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Past_Standings!$A$18:$A$29</c:f>
            </c:strRef>
          </c:cat>
          <c:val>
            <c:numRef>
              <c:f>Past_Standings!$D$18:$D$29</c:f>
              <c:numCache/>
            </c:numRef>
          </c:val>
        </c:ser>
        <c:ser>
          <c:idx val="2"/>
          <c:order val="2"/>
          <c:tx>
            <c:strRef>
              <c:f>Past_Standings!$E$16:$E$17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Past_Standings!$A$18:$A$29</c:f>
            </c:strRef>
          </c:cat>
          <c:val>
            <c:numRef>
              <c:f>Past_Standings!$E$18:$E$29</c:f>
              <c:numCache/>
            </c:numRef>
          </c:val>
        </c:ser>
        <c:axId val="429902001"/>
        <c:axId val="1026582770"/>
      </c:barChart>
      <c:catAx>
        <c:axId val="429902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582770"/>
      </c:catAx>
      <c:valAx>
        <c:axId val="10265827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99020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69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457200</xdr:colOff>
      <xdr:row>68</xdr:row>
      <xdr:rowOff>114300</xdr:rowOff>
    </xdr:from>
    <xdr:ext cx="5715000" cy="3533775"/>
    <xdr:pic>
      <xdr:nvPicPr>
        <xdr:cNvPr id="1661229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361950</xdr:colOff>
      <xdr:row>49</xdr:row>
      <xdr:rowOff>47625</xdr:rowOff>
    </xdr:from>
    <xdr:ext cx="5715000" cy="1857375"/>
    <xdr:pic>
      <xdr:nvPicPr>
        <xdr:cNvPr id="108730922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6.25"/>
    <col customWidth="1" min="3" max="3" width="22.38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5" t="s">
        <v>10</v>
      </c>
      <c r="B6" s="6" t="s">
        <v>11</v>
      </c>
    </row>
    <row r="7">
      <c r="A7" s="5" t="s">
        <v>12</v>
      </c>
      <c r="B7" s="6" t="s">
        <v>13</v>
      </c>
    </row>
    <row r="8">
      <c r="A8" s="7" t="s">
        <v>14</v>
      </c>
      <c r="B8" s="8" t="s">
        <v>15</v>
      </c>
    </row>
    <row r="9">
      <c r="A9" s="7" t="s">
        <v>16</v>
      </c>
      <c r="B9" s="8" t="s">
        <v>17</v>
      </c>
    </row>
    <row r="10">
      <c r="A10" s="7" t="s">
        <v>18</v>
      </c>
      <c r="B10" s="8" t="s">
        <v>19</v>
      </c>
    </row>
    <row r="11">
      <c r="A11" s="7" t="s">
        <v>20</v>
      </c>
      <c r="B11" s="8" t="s">
        <v>21</v>
      </c>
    </row>
    <row r="12">
      <c r="A12" s="7" t="s">
        <v>22</v>
      </c>
      <c r="B12" s="8" t="s">
        <v>23</v>
      </c>
    </row>
    <row r="13">
      <c r="A13" s="9" t="s">
        <v>24</v>
      </c>
      <c r="B13" s="10" t="s">
        <v>25</v>
      </c>
      <c r="C13" s="11" t="s">
        <v>26</v>
      </c>
    </row>
    <row r="14">
      <c r="A14" s="12"/>
      <c r="B14" s="12"/>
    </row>
    <row r="15">
      <c r="A15" s="12"/>
      <c r="B15" s="12"/>
    </row>
    <row r="16">
      <c r="A16" s="12"/>
      <c r="B16" s="12"/>
    </row>
    <row r="17">
      <c r="A17" s="12"/>
      <c r="B17" s="12"/>
    </row>
    <row r="18">
      <c r="A18" s="12"/>
      <c r="B18" s="12"/>
    </row>
    <row r="19">
      <c r="A19" s="12"/>
      <c r="B19" s="12"/>
    </row>
    <row r="20">
      <c r="A20" s="12"/>
      <c r="B20" s="12"/>
    </row>
    <row r="21">
      <c r="A21" s="12"/>
      <c r="B21" s="12"/>
    </row>
    <row r="22">
      <c r="A22" s="12"/>
      <c r="B22" s="12"/>
    </row>
    <row r="23">
      <c r="A23" s="12"/>
      <c r="B23" s="12"/>
    </row>
    <row r="24">
      <c r="A24" s="12"/>
      <c r="B24" s="12"/>
    </row>
    <row r="25">
      <c r="A25" s="12"/>
      <c r="B25" s="12"/>
    </row>
    <row r="26">
      <c r="A26" s="12"/>
      <c r="B26" s="12"/>
    </row>
    <row r="27">
      <c r="A27" s="12"/>
      <c r="B27" s="12"/>
    </row>
    <row r="28">
      <c r="A28" s="12"/>
      <c r="B28" s="12"/>
    </row>
    <row r="29">
      <c r="A29" s="12"/>
      <c r="B29" s="12"/>
    </row>
    <row r="30">
      <c r="A30" s="12"/>
      <c r="B30" s="12"/>
    </row>
    <row r="31">
      <c r="A31" s="12"/>
      <c r="B31" s="12"/>
    </row>
    <row r="32">
      <c r="A32" s="12"/>
      <c r="B32" s="12"/>
    </row>
    <row r="33">
      <c r="A33" s="12"/>
      <c r="B33" s="12"/>
    </row>
    <row r="34">
      <c r="A34" s="12"/>
      <c r="B34" s="12"/>
    </row>
    <row r="35">
      <c r="A35" s="12"/>
      <c r="B35" s="12"/>
    </row>
    <row r="36">
      <c r="A36" s="12"/>
      <c r="B36" s="12"/>
    </row>
    <row r="37">
      <c r="A37" s="12"/>
      <c r="B37" s="12"/>
    </row>
    <row r="38">
      <c r="A38" s="12"/>
      <c r="B38" s="12"/>
    </row>
    <row r="39">
      <c r="A39" s="12"/>
      <c r="B39" s="12"/>
    </row>
    <row r="40">
      <c r="A40" s="12"/>
      <c r="B40" s="12"/>
    </row>
    <row r="41">
      <c r="A41" s="12"/>
      <c r="B41" s="12"/>
    </row>
    <row r="42">
      <c r="A42" s="12"/>
      <c r="B42" s="12"/>
    </row>
    <row r="43">
      <c r="A43" s="12"/>
      <c r="B43" s="12"/>
    </row>
    <row r="44">
      <c r="A44" s="12"/>
      <c r="B44" s="12"/>
    </row>
    <row r="45">
      <c r="A45" s="12"/>
      <c r="B45" s="12"/>
    </row>
    <row r="46">
      <c r="A46" s="12"/>
      <c r="B46" s="12"/>
    </row>
    <row r="47">
      <c r="A47" s="12"/>
      <c r="B47" s="12"/>
    </row>
    <row r="48">
      <c r="A48" s="12"/>
      <c r="B48" s="12"/>
    </row>
    <row r="49">
      <c r="A49" s="12"/>
      <c r="B49" s="12"/>
    </row>
    <row r="50">
      <c r="A50" s="12"/>
      <c r="B50" s="12"/>
    </row>
    <row r="51">
      <c r="A51" s="12"/>
      <c r="B51" s="12"/>
    </row>
    <row r="52">
      <c r="A52" s="12"/>
      <c r="B52" s="12"/>
    </row>
    <row r="53">
      <c r="A53" s="12"/>
      <c r="B53" s="12"/>
    </row>
    <row r="54">
      <c r="A54" s="12"/>
      <c r="B54" s="12"/>
    </row>
    <row r="55">
      <c r="A55" s="12"/>
      <c r="B55" s="12"/>
    </row>
    <row r="56">
      <c r="A56" s="12"/>
      <c r="B56" s="12"/>
    </row>
    <row r="57">
      <c r="A57" s="12"/>
      <c r="B57" s="12"/>
    </row>
    <row r="58">
      <c r="A58" s="12"/>
      <c r="B58" s="12"/>
    </row>
    <row r="59">
      <c r="A59" s="12"/>
      <c r="B59" s="12"/>
    </row>
    <row r="60">
      <c r="A60" s="12"/>
      <c r="B60" s="12"/>
    </row>
    <row r="61">
      <c r="A61" s="12"/>
      <c r="B61" s="12"/>
    </row>
    <row r="62">
      <c r="A62" s="12"/>
      <c r="B62" s="12"/>
    </row>
    <row r="63">
      <c r="A63" s="12"/>
      <c r="B63" s="12"/>
    </row>
    <row r="64">
      <c r="A64" s="12"/>
      <c r="B64" s="12"/>
    </row>
    <row r="65">
      <c r="A65" s="12"/>
      <c r="B65" s="12"/>
    </row>
    <row r="66">
      <c r="A66" s="12"/>
      <c r="B66" s="12"/>
    </row>
    <row r="67">
      <c r="A67" s="12"/>
      <c r="B67" s="12"/>
    </row>
    <row r="68">
      <c r="A68" s="12"/>
      <c r="B68" s="12"/>
    </row>
    <row r="69">
      <c r="A69" s="12"/>
      <c r="B69" s="12"/>
    </row>
    <row r="70">
      <c r="A70" s="12"/>
      <c r="B70" s="12"/>
    </row>
    <row r="71">
      <c r="A71" s="12"/>
      <c r="B71" s="12"/>
    </row>
    <row r="72">
      <c r="A72" s="12"/>
      <c r="B72" s="12"/>
    </row>
    <row r="73">
      <c r="A73" s="12"/>
      <c r="B73" s="12"/>
    </row>
    <row r="74">
      <c r="A74" s="12"/>
      <c r="B74" s="12"/>
    </row>
    <row r="75">
      <c r="A75" s="12"/>
      <c r="B75" s="12"/>
    </row>
    <row r="76">
      <c r="A76" s="12"/>
      <c r="B76" s="12"/>
    </row>
    <row r="77">
      <c r="A77" s="12"/>
      <c r="B77" s="12"/>
    </row>
    <row r="78">
      <c r="A78" s="12"/>
      <c r="B78" s="12"/>
    </row>
    <row r="79">
      <c r="A79" s="12"/>
      <c r="B79" s="12"/>
    </row>
    <row r="80">
      <c r="A80" s="12"/>
      <c r="B80" s="12"/>
    </row>
    <row r="81">
      <c r="A81" s="12"/>
      <c r="B81" s="12"/>
    </row>
    <row r="82">
      <c r="A82" s="12"/>
      <c r="B82" s="12"/>
    </row>
    <row r="83">
      <c r="A83" s="12"/>
      <c r="B83" s="12"/>
    </row>
    <row r="84">
      <c r="A84" s="12"/>
      <c r="B84" s="12"/>
    </row>
    <row r="85">
      <c r="A85" s="12"/>
      <c r="B85" s="12"/>
    </row>
    <row r="86">
      <c r="A86" s="12"/>
      <c r="B86" s="12"/>
    </row>
    <row r="87">
      <c r="A87" s="12"/>
      <c r="B87" s="12"/>
    </row>
    <row r="88">
      <c r="A88" s="12"/>
      <c r="B88" s="12"/>
    </row>
    <row r="89">
      <c r="A89" s="12"/>
      <c r="B89" s="12"/>
    </row>
    <row r="90">
      <c r="A90" s="12"/>
      <c r="B90" s="12"/>
    </row>
    <row r="91">
      <c r="A91" s="12"/>
      <c r="B91" s="12"/>
    </row>
    <row r="92">
      <c r="A92" s="12"/>
      <c r="B92" s="12"/>
    </row>
    <row r="93">
      <c r="A93" s="12"/>
      <c r="B93" s="12"/>
    </row>
    <row r="94">
      <c r="A94" s="12"/>
      <c r="B94" s="12"/>
    </row>
    <row r="95">
      <c r="A95" s="12"/>
      <c r="B95" s="12"/>
    </row>
    <row r="96">
      <c r="A96" s="12"/>
      <c r="B96" s="12"/>
    </row>
    <row r="97">
      <c r="A97" s="12"/>
      <c r="B97" s="12"/>
    </row>
    <row r="98">
      <c r="A98" s="12"/>
      <c r="B98" s="12"/>
    </row>
    <row r="99">
      <c r="A99" s="12"/>
      <c r="B99" s="12"/>
    </row>
    <row r="100">
      <c r="A100" s="12"/>
      <c r="B100" s="12"/>
    </row>
    <row r="101">
      <c r="A101" s="12"/>
      <c r="B101" s="12"/>
    </row>
    <row r="102">
      <c r="A102" s="12"/>
      <c r="B102" s="12"/>
    </row>
    <row r="103">
      <c r="A103" s="12"/>
      <c r="B103" s="12"/>
    </row>
    <row r="104">
      <c r="A104" s="12"/>
      <c r="B104" s="12"/>
    </row>
    <row r="105">
      <c r="A105" s="12"/>
      <c r="B105" s="12"/>
    </row>
    <row r="106">
      <c r="A106" s="12"/>
      <c r="B106" s="12"/>
    </row>
    <row r="107">
      <c r="A107" s="12"/>
      <c r="B107" s="12"/>
    </row>
    <row r="108">
      <c r="A108" s="12"/>
      <c r="B108" s="12"/>
    </row>
    <row r="109">
      <c r="A109" s="12"/>
      <c r="B109" s="12"/>
    </row>
    <row r="110">
      <c r="A110" s="12"/>
      <c r="B110" s="12"/>
    </row>
    <row r="111">
      <c r="A111" s="12"/>
      <c r="B111" s="12"/>
    </row>
    <row r="112">
      <c r="A112" s="12"/>
      <c r="B112" s="12"/>
    </row>
    <row r="113">
      <c r="A113" s="12"/>
      <c r="B113" s="12"/>
    </row>
    <row r="114">
      <c r="A114" s="12"/>
      <c r="B114" s="12"/>
    </row>
    <row r="115">
      <c r="A115" s="12"/>
      <c r="B115" s="12"/>
    </row>
    <row r="116">
      <c r="A116" s="12"/>
      <c r="B116" s="12"/>
    </row>
    <row r="117">
      <c r="A117" s="12"/>
      <c r="B117" s="12"/>
    </row>
    <row r="118">
      <c r="A118" s="12"/>
      <c r="B118" s="12"/>
    </row>
    <row r="119">
      <c r="A119" s="12"/>
      <c r="B119" s="12"/>
    </row>
    <row r="120">
      <c r="A120" s="12"/>
      <c r="B120" s="12"/>
    </row>
    <row r="121">
      <c r="A121" s="12"/>
      <c r="B121" s="12"/>
    </row>
    <row r="122">
      <c r="A122" s="12"/>
      <c r="B122" s="12"/>
    </row>
    <row r="123">
      <c r="A123" s="12"/>
      <c r="B123" s="12"/>
    </row>
    <row r="124">
      <c r="A124" s="12"/>
      <c r="B124" s="12"/>
    </row>
    <row r="125">
      <c r="A125" s="12"/>
      <c r="B125" s="12"/>
    </row>
    <row r="126">
      <c r="A126" s="12"/>
      <c r="B126" s="12"/>
    </row>
    <row r="127">
      <c r="A127" s="12"/>
      <c r="B127" s="12"/>
    </row>
    <row r="128">
      <c r="A128" s="12"/>
      <c r="B128" s="12"/>
    </row>
    <row r="129">
      <c r="A129" s="12"/>
      <c r="B129" s="12"/>
    </row>
    <row r="130">
      <c r="A130" s="12"/>
      <c r="B130" s="12"/>
    </row>
    <row r="131">
      <c r="A131" s="12"/>
      <c r="B131" s="12"/>
    </row>
    <row r="132">
      <c r="A132" s="12"/>
      <c r="B132" s="12"/>
    </row>
    <row r="133">
      <c r="A133" s="12"/>
      <c r="B133" s="12"/>
    </row>
    <row r="134">
      <c r="A134" s="12"/>
      <c r="B134" s="12"/>
    </row>
    <row r="135">
      <c r="A135" s="12"/>
      <c r="B135" s="12"/>
    </row>
    <row r="136">
      <c r="A136" s="12"/>
      <c r="B136" s="12"/>
    </row>
    <row r="137">
      <c r="A137" s="12"/>
      <c r="B137" s="12"/>
    </row>
    <row r="138">
      <c r="A138" s="12"/>
      <c r="B138" s="12"/>
    </row>
    <row r="139">
      <c r="A139" s="12"/>
      <c r="B139" s="12"/>
    </row>
    <row r="140">
      <c r="A140" s="12"/>
      <c r="B140" s="12"/>
    </row>
    <row r="141">
      <c r="A141" s="12"/>
      <c r="B141" s="12"/>
    </row>
    <row r="142">
      <c r="A142" s="12"/>
      <c r="B142" s="12"/>
    </row>
    <row r="143">
      <c r="A143" s="12"/>
      <c r="B143" s="12"/>
    </row>
    <row r="144">
      <c r="A144" s="12"/>
      <c r="B144" s="12"/>
    </row>
    <row r="145">
      <c r="A145" s="12"/>
      <c r="B145" s="12"/>
    </row>
    <row r="146">
      <c r="A146" s="12"/>
      <c r="B146" s="12"/>
    </row>
    <row r="147">
      <c r="A147" s="12"/>
      <c r="B147" s="12"/>
    </row>
    <row r="148">
      <c r="A148" s="12"/>
      <c r="B148" s="12"/>
    </row>
    <row r="149">
      <c r="A149" s="12"/>
      <c r="B149" s="12"/>
    </row>
    <row r="150">
      <c r="A150" s="12"/>
      <c r="B150" s="12"/>
    </row>
    <row r="151">
      <c r="A151" s="12"/>
      <c r="B151" s="12"/>
    </row>
    <row r="152">
      <c r="A152" s="12"/>
      <c r="B152" s="12"/>
    </row>
    <row r="153">
      <c r="A153" s="12"/>
      <c r="B153" s="12"/>
    </row>
    <row r="154">
      <c r="A154" s="12"/>
      <c r="B154" s="12"/>
    </row>
    <row r="155">
      <c r="A155" s="12"/>
      <c r="B155" s="12"/>
    </row>
    <row r="156">
      <c r="A156" s="12"/>
      <c r="B156" s="12"/>
    </row>
    <row r="157">
      <c r="A157" s="12"/>
      <c r="B157" s="12"/>
    </row>
    <row r="158">
      <c r="A158" s="12"/>
      <c r="B158" s="12"/>
    </row>
    <row r="159">
      <c r="A159" s="12"/>
      <c r="B159" s="12"/>
    </row>
    <row r="160">
      <c r="A160" s="12"/>
      <c r="B160" s="12"/>
    </row>
    <row r="161">
      <c r="A161" s="12"/>
      <c r="B161" s="12"/>
    </row>
    <row r="162">
      <c r="A162" s="12"/>
      <c r="B162" s="12"/>
    </row>
    <row r="163">
      <c r="A163" s="12"/>
      <c r="B163" s="12"/>
    </row>
    <row r="164">
      <c r="A164" s="12"/>
      <c r="B164" s="12"/>
    </row>
    <row r="165">
      <c r="A165" s="12"/>
      <c r="B165" s="12"/>
    </row>
    <row r="166">
      <c r="A166" s="12"/>
      <c r="B166" s="12"/>
    </row>
    <row r="167">
      <c r="A167" s="12"/>
      <c r="B167" s="12"/>
    </row>
    <row r="168">
      <c r="A168" s="12"/>
      <c r="B168" s="12"/>
    </row>
    <row r="169">
      <c r="A169" s="12"/>
      <c r="B169" s="12"/>
    </row>
    <row r="170">
      <c r="A170" s="12"/>
      <c r="B170" s="12"/>
    </row>
    <row r="171">
      <c r="A171" s="12"/>
      <c r="B171" s="12"/>
    </row>
    <row r="172">
      <c r="A172" s="12"/>
      <c r="B172" s="12"/>
    </row>
    <row r="173">
      <c r="A173" s="12"/>
      <c r="B173" s="12"/>
    </row>
    <row r="174">
      <c r="A174" s="12"/>
      <c r="B174" s="12"/>
    </row>
    <row r="175">
      <c r="A175" s="12"/>
      <c r="B175" s="12"/>
    </row>
    <row r="176">
      <c r="A176" s="12"/>
      <c r="B176" s="12"/>
    </row>
    <row r="177">
      <c r="A177" s="12"/>
      <c r="B177" s="12"/>
    </row>
    <row r="178">
      <c r="A178" s="12"/>
      <c r="B178" s="12"/>
    </row>
    <row r="179">
      <c r="A179" s="12"/>
      <c r="B179" s="12"/>
    </row>
    <row r="180">
      <c r="A180" s="12"/>
      <c r="B180" s="12"/>
    </row>
    <row r="181">
      <c r="A181" s="12"/>
      <c r="B181" s="12"/>
    </row>
    <row r="182">
      <c r="A182" s="12"/>
      <c r="B182" s="12"/>
    </row>
    <row r="183">
      <c r="A183" s="12"/>
      <c r="B183" s="12"/>
    </row>
    <row r="184">
      <c r="A184" s="12"/>
      <c r="B184" s="12"/>
    </row>
    <row r="185">
      <c r="A185" s="12"/>
      <c r="B185" s="12"/>
    </row>
    <row r="186">
      <c r="A186" s="12"/>
      <c r="B186" s="12"/>
    </row>
    <row r="187">
      <c r="A187" s="12"/>
      <c r="B187" s="12"/>
    </row>
    <row r="188">
      <c r="A188" s="12"/>
      <c r="B188" s="12"/>
    </row>
    <row r="189">
      <c r="A189" s="12"/>
      <c r="B189" s="12"/>
    </row>
    <row r="190">
      <c r="A190" s="12"/>
      <c r="B190" s="12"/>
    </row>
    <row r="191">
      <c r="A191" s="12"/>
      <c r="B191" s="12"/>
    </row>
    <row r="192">
      <c r="A192" s="12"/>
      <c r="B192" s="12"/>
    </row>
    <row r="193">
      <c r="A193" s="12"/>
      <c r="B193" s="12"/>
    </row>
    <row r="194">
      <c r="A194" s="12"/>
      <c r="B194" s="12"/>
    </row>
    <row r="195">
      <c r="A195" s="12"/>
      <c r="B195" s="12"/>
    </row>
    <row r="196">
      <c r="A196" s="12"/>
      <c r="B196" s="12"/>
    </row>
    <row r="197">
      <c r="A197" s="12"/>
      <c r="B197" s="12"/>
    </row>
    <row r="198">
      <c r="A198" s="12"/>
      <c r="B198" s="12"/>
    </row>
    <row r="199">
      <c r="A199" s="12"/>
      <c r="B199" s="12"/>
    </row>
    <row r="200">
      <c r="A200" s="12"/>
      <c r="B200" s="12"/>
    </row>
    <row r="201">
      <c r="A201" s="12"/>
      <c r="B201" s="12"/>
    </row>
    <row r="202">
      <c r="A202" s="12"/>
      <c r="B202" s="12"/>
    </row>
    <row r="203">
      <c r="A203" s="12"/>
      <c r="B203" s="12"/>
    </row>
    <row r="204">
      <c r="A204" s="12"/>
      <c r="B204" s="12"/>
    </row>
    <row r="205">
      <c r="A205" s="12"/>
      <c r="B205" s="12"/>
    </row>
    <row r="206">
      <c r="A206" s="12"/>
      <c r="B206" s="12"/>
    </row>
    <row r="207">
      <c r="A207" s="12"/>
      <c r="B207" s="12"/>
    </row>
    <row r="208">
      <c r="A208" s="12"/>
      <c r="B208" s="12"/>
    </row>
    <row r="209">
      <c r="A209" s="12"/>
      <c r="B209" s="12"/>
    </row>
    <row r="210">
      <c r="A210" s="12"/>
      <c r="B210" s="12"/>
    </row>
    <row r="211">
      <c r="A211" s="12"/>
      <c r="B211" s="12"/>
    </row>
    <row r="212">
      <c r="A212" s="12"/>
      <c r="B212" s="12"/>
    </row>
    <row r="213">
      <c r="A213" s="12"/>
      <c r="B213" s="12"/>
    </row>
    <row r="214">
      <c r="A214" s="12"/>
      <c r="B214" s="12"/>
    </row>
    <row r="215">
      <c r="A215" s="12"/>
      <c r="B215" s="12"/>
    </row>
    <row r="216">
      <c r="A216" s="12"/>
      <c r="B216" s="12"/>
    </row>
    <row r="217">
      <c r="A217" s="12"/>
      <c r="B217" s="12"/>
    </row>
    <row r="218">
      <c r="A218" s="12"/>
      <c r="B218" s="12"/>
    </row>
    <row r="219">
      <c r="A219" s="12"/>
      <c r="B219" s="12"/>
    </row>
    <row r="220">
      <c r="A220" s="12"/>
      <c r="B220" s="12"/>
    </row>
    <row r="221">
      <c r="A221" s="12"/>
      <c r="B221" s="12"/>
    </row>
    <row r="222">
      <c r="A222" s="12"/>
      <c r="B222" s="12"/>
    </row>
    <row r="223">
      <c r="A223" s="12"/>
      <c r="B223" s="12"/>
    </row>
    <row r="224">
      <c r="A224" s="12"/>
      <c r="B224" s="12"/>
    </row>
    <row r="225">
      <c r="A225" s="12"/>
      <c r="B225" s="12"/>
    </row>
    <row r="226">
      <c r="A226" s="12"/>
      <c r="B226" s="12"/>
    </row>
    <row r="227">
      <c r="A227" s="12"/>
      <c r="B227" s="12"/>
    </row>
    <row r="228">
      <c r="A228" s="12"/>
      <c r="B228" s="12"/>
    </row>
    <row r="229">
      <c r="A229" s="12"/>
      <c r="B229" s="12"/>
    </row>
    <row r="230">
      <c r="A230" s="12"/>
      <c r="B230" s="12"/>
    </row>
    <row r="231">
      <c r="A231" s="12"/>
      <c r="B231" s="12"/>
    </row>
    <row r="232">
      <c r="A232" s="12"/>
      <c r="B232" s="12"/>
    </row>
    <row r="233">
      <c r="A233" s="12"/>
      <c r="B233" s="12"/>
    </row>
    <row r="234">
      <c r="A234" s="12"/>
      <c r="B234" s="12"/>
    </row>
    <row r="235">
      <c r="A235" s="12"/>
      <c r="B235" s="12"/>
    </row>
    <row r="236">
      <c r="A236" s="12"/>
      <c r="B236" s="12"/>
    </row>
    <row r="237">
      <c r="A237" s="12"/>
      <c r="B237" s="12"/>
    </row>
    <row r="238">
      <c r="A238" s="12"/>
      <c r="B238" s="12"/>
    </row>
    <row r="239">
      <c r="A239" s="12"/>
      <c r="B239" s="12"/>
    </row>
    <row r="240">
      <c r="A240" s="12"/>
      <c r="B240" s="12"/>
    </row>
    <row r="241">
      <c r="A241" s="12"/>
      <c r="B241" s="12"/>
    </row>
    <row r="242">
      <c r="A242" s="12"/>
      <c r="B242" s="12"/>
    </row>
    <row r="243">
      <c r="A243" s="12"/>
      <c r="B243" s="12"/>
    </row>
    <row r="244">
      <c r="A244" s="12"/>
      <c r="B244" s="12"/>
    </row>
    <row r="245">
      <c r="A245" s="12"/>
      <c r="B245" s="12"/>
    </row>
    <row r="246">
      <c r="A246" s="12"/>
      <c r="B246" s="12"/>
    </row>
    <row r="247">
      <c r="A247" s="12"/>
      <c r="B247" s="12"/>
    </row>
    <row r="248">
      <c r="A248" s="12"/>
      <c r="B248" s="12"/>
    </row>
    <row r="249">
      <c r="A249" s="12"/>
      <c r="B249" s="12"/>
    </row>
    <row r="250">
      <c r="A250" s="12"/>
      <c r="B250" s="12"/>
    </row>
    <row r="251">
      <c r="A251" s="12"/>
      <c r="B251" s="12"/>
    </row>
    <row r="252">
      <c r="A252" s="12"/>
      <c r="B252" s="12"/>
    </row>
    <row r="253">
      <c r="A253" s="12"/>
      <c r="B253" s="12"/>
    </row>
    <row r="254">
      <c r="A254" s="12"/>
      <c r="B254" s="12"/>
    </row>
    <row r="255">
      <c r="A255" s="12"/>
      <c r="B255" s="12"/>
    </row>
    <row r="256">
      <c r="A256" s="12"/>
      <c r="B256" s="12"/>
    </row>
    <row r="257">
      <c r="A257" s="12"/>
      <c r="B257" s="12"/>
    </row>
    <row r="258">
      <c r="A258" s="12"/>
      <c r="B258" s="12"/>
    </row>
    <row r="259">
      <c r="A259" s="12"/>
      <c r="B259" s="12"/>
    </row>
    <row r="260">
      <c r="A260" s="12"/>
      <c r="B260" s="12"/>
    </row>
    <row r="261">
      <c r="A261" s="12"/>
      <c r="B261" s="12"/>
    </row>
    <row r="262">
      <c r="A262" s="12"/>
      <c r="B262" s="12"/>
    </row>
    <row r="263">
      <c r="A263" s="12"/>
      <c r="B263" s="12"/>
    </row>
    <row r="264">
      <c r="A264" s="12"/>
      <c r="B264" s="12"/>
    </row>
    <row r="265">
      <c r="A265" s="12"/>
      <c r="B265" s="12"/>
    </row>
    <row r="266">
      <c r="A266" s="12"/>
      <c r="B266" s="12"/>
    </row>
    <row r="267">
      <c r="A267" s="12"/>
      <c r="B267" s="12"/>
    </row>
    <row r="268">
      <c r="A268" s="12"/>
      <c r="B268" s="12"/>
    </row>
    <row r="269">
      <c r="A269" s="12"/>
      <c r="B269" s="12"/>
    </row>
    <row r="270">
      <c r="A270" s="12"/>
      <c r="B270" s="12"/>
    </row>
    <row r="271">
      <c r="A271" s="12"/>
      <c r="B271" s="12"/>
    </row>
    <row r="272">
      <c r="A272" s="12"/>
      <c r="B272" s="12"/>
    </row>
    <row r="273">
      <c r="A273" s="12"/>
      <c r="B273" s="12"/>
    </row>
    <row r="274">
      <c r="A274" s="12"/>
      <c r="B274" s="12"/>
    </row>
    <row r="275">
      <c r="A275" s="12"/>
      <c r="B275" s="12"/>
    </row>
    <row r="276">
      <c r="A276" s="12"/>
      <c r="B276" s="12"/>
    </row>
    <row r="277">
      <c r="A277" s="12"/>
      <c r="B277" s="12"/>
    </row>
    <row r="278">
      <c r="A278" s="12"/>
      <c r="B278" s="12"/>
    </row>
    <row r="279">
      <c r="A279" s="12"/>
      <c r="B279" s="12"/>
    </row>
    <row r="280">
      <c r="A280" s="12"/>
      <c r="B280" s="12"/>
    </row>
    <row r="281">
      <c r="A281" s="12"/>
      <c r="B281" s="12"/>
    </row>
    <row r="282">
      <c r="A282" s="12"/>
      <c r="B282" s="12"/>
    </row>
    <row r="283">
      <c r="A283" s="12"/>
      <c r="B283" s="12"/>
    </row>
    <row r="284">
      <c r="A284" s="12"/>
      <c r="B284" s="12"/>
    </row>
    <row r="285">
      <c r="A285" s="12"/>
      <c r="B285" s="12"/>
    </row>
    <row r="286">
      <c r="A286" s="12"/>
      <c r="B286" s="12"/>
    </row>
    <row r="287">
      <c r="A287" s="12"/>
      <c r="B287" s="12"/>
    </row>
    <row r="288">
      <c r="A288" s="12"/>
      <c r="B288" s="12"/>
    </row>
    <row r="289">
      <c r="A289" s="12"/>
      <c r="B289" s="12"/>
    </row>
    <row r="290">
      <c r="A290" s="12"/>
      <c r="B290" s="12"/>
    </row>
    <row r="291">
      <c r="A291" s="12"/>
      <c r="B291" s="12"/>
    </row>
    <row r="292">
      <c r="A292" s="12"/>
      <c r="B292" s="12"/>
    </row>
    <row r="293">
      <c r="A293" s="12"/>
      <c r="B293" s="12"/>
    </row>
    <row r="294">
      <c r="A294" s="12"/>
      <c r="B294" s="12"/>
    </row>
    <row r="295">
      <c r="A295" s="12"/>
      <c r="B295" s="12"/>
    </row>
    <row r="296">
      <c r="A296" s="12"/>
      <c r="B296" s="12"/>
    </row>
    <row r="297">
      <c r="A297" s="12"/>
      <c r="B297" s="12"/>
    </row>
    <row r="298">
      <c r="A298" s="12"/>
      <c r="B298" s="12"/>
    </row>
    <row r="299">
      <c r="A299" s="12"/>
      <c r="B299" s="12"/>
    </row>
    <row r="300">
      <c r="A300" s="12"/>
      <c r="B300" s="12"/>
    </row>
    <row r="301">
      <c r="A301" s="12"/>
      <c r="B301" s="12"/>
    </row>
    <row r="302">
      <c r="A302" s="12"/>
      <c r="B302" s="12"/>
    </row>
    <row r="303">
      <c r="A303" s="12"/>
      <c r="B303" s="12"/>
    </row>
    <row r="304">
      <c r="A304" s="12"/>
      <c r="B304" s="12"/>
    </row>
    <row r="305">
      <c r="A305" s="12"/>
      <c r="B305" s="12"/>
    </row>
    <row r="306">
      <c r="A306" s="12"/>
      <c r="B306" s="12"/>
    </row>
    <row r="307">
      <c r="A307" s="12"/>
      <c r="B307" s="12"/>
    </row>
    <row r="308">
      <c r="A308" s="12"/>
      <c r="B308" s="12"/>
    </row>
    <row r="309">
      <c r="A309" s="12"/>
      <c r="B309" s="12"/>
    </row>
    <row r="310">
      <c r="A310" s="12"/>
      <c r="B310" s="12"/>
    </row>
    <row r="311">
      <c r="A311" s="12"/>
      <c r="B311" s="12"/>
    </row>
    <row r="312">
      <c r="A312" s="12"/>
      <c r="B312" s="12"/>
    </row>
    <row r="313">
      <c r="A313" s="12"/>
      <c r="B313" s="12"/>
    </row>
    <row r="314">
      <c r="A314" s="12"/>
      <c r="B314" s="12"/>
    </row>
    <row r="315">
      <c r="A315" s="12"/>
      <c r="B315" s="12"/>
    </row>
    <row r="316">
      <c r="A316" s="12"/>
      <c r="B316" s="12"/>
    </row>
    <row r="317">
      <c r="A317" s="12"/>
      <c r="B317" s="12"/>
    </row>
    <row r="318">
      <c r="A318" s="12"/>
      <c r="B318" s="12"/>
    </row>
    <row r="319">
      <c r="A319" s="12"/>
      <c r="B319" s="12"/>
    </row>
    <row r="320">
      <c r="A320" s="12"/>
      <c r="B320" s="12"/>
    </row>
    <row r="321">
      <c r="A321" s="12"/>
      <c r="B321" s="12"/>
    </row>
    <row r="322">
      <c r="A322" s="12"/>
      <c r="B322" s="12"/>
    </row>
    <row r="323">
      <c r="A323" s="12"/>
      <c r="B323" s="12"/>
    </row>
    <row r="324">
      <c r="A324" s="12"/>
      <c r="B324" s="12"/>
    </row>
    <row r="325">
      <c r="A325" s="12"/>
      <c r="B325" s="12"/>
    </row>
    <row r="326">
      <c r="A326" s="12"/>
      <c r="B326" s="12"/>
    </row>
    <row r="327">
      <c r="A327" s="12"/>
      <c r="B327" s="12"/>
    </row>
    <row r="328">
      <c r="A328" s="12"/>
      <c r="B328" s="12"/>
    </row>
    <row r="329">
      <c r="A329" s="12"/>
      <c r="B329" s="12"/>
    </row>
    <row r="330">
      <c r="A330" s="12"/>
      <c r="B330" s="12"/>
    </row>
    <row r="331">
      <c r="A331" s="12"/>
      <c r="B331" s="12"/>
    </row>
    <row r="332">
      <c r="A332" s="12"/>
      <c r="B332" s="12"/>
    </row>
    <row r="333">
      <c r="A333" s="12"/>
      <c r="B333" s="12"/>
    </row>
    <row r="334">
      <c r="A334" s="12"/>
      <c r="B334" s="12"/>
    </row>
    <row r="335">
      <c r="A335" s="12"/>
      <c r="B335" s="12"/>
    </row>
    <row r="336">
      <c r="A336" s="12"/>
      <c r="B336" s="12"/>
    </row>
    <row r="337">
      <c r="A337" s="12"/>
      <c r="B337" s="12"/>
    </row>
    <row r="338">
      <c r="A338" s="12"/>
      <c r="B338" s="12"/>
    </row>
    <row r="339">
      <c r="A339" s="12"/>
      <c r="B339" s="12"/>
    </row>
    <row r="340">
      <c r="A340" s="12"/>
      <c r="B340" s="12"/>
    </row>
    <row r="341">
      <c r="A341" s="12"/>
      <c r="B341" s="12"/>
    </row>
    <row r="342">
      <c r="A342" s="12"/>
      <c r="B342" s="12"/>
    </row>
    <row r="343">
      <c r="A343" s="12"/>
      <c r="B343" s="12"/>
    </row>
    <row r="344">
      <c r="A344" s="12"/>
      <c r="B344" s="12"/>
    </row>
    <row r="345">
      <c r="A345" s="12"/>
      <c r="B345" s="12"/>
    </row>
    <row r="346">
      <c r="A346" s="12"/>
      <c r="B346" s="12"/>
    </row>
    <row r="347">
      <c r="A347" s="12"/>
      <c r="B347" s="12"/>
    </row>
    <row r="348">
      <c r="A348" s="12"/>
      <c r="B348" s="12"/>
    </row>
    <row r="349">
      <c r="A349" s="12"/>
      <c r="B349" s="12"/>
    </row>
    <row r="350">
      <c r="A350" s="12"/>
      <c r="B350" s="12"/>
    </row>
    <row r="351">
      <c r="A351" s="12"/>
      <c r="B351" s="12"/>
    </row>
    <row r="352">
      <c r="A352" s="12"/>
      <c r="B352" s="12"/>
    </row>
    <row r="353">
      <c r="A353" s="12"/>
      <c r="B353" s="12"/>
    </row>
    <row r="354">
      <c r="A354" s="12"/>
      <c r="B354" s="12"/>
    </row>
    <row r="355">
      <c r="A355" s="12"/>
      <c r="B355" s="12"/>
    </row>
    <row r="356">
      <c r="A356" s="12"/>
      <c r="B356" s="12"/>
    </row>
    <row r="357">
      <c r="A357" s="12"/>
      <c r="B357" s="12"/>
    </row>
    <row r="358">
      <c r="A358" s="12"/>
      <c r="B358" s="12"/>
    </row>
    <row r="359">
      <c r="A359" s="12"/>
      <c r="B359" s="12"/>
    </row>
    <row r="360">
      <c r="A360" s="12"/>
      <c r="B360" s="12"/>
    </row>
    <row r="361">
      <c r="A361" s="12"/>
      <c r="B361" s="12"/>
    </row>
    <row r="362">
      <c r="A362" s="12"/>
      <c r="B362" s="12"/>
    </row>
    <row r="363">
      <c r="A363" s="12"/>
      <c r="B363" s="12"/>
    </row>
    <row r="364">
      <c r="A364" s="12"/>
      <c r="B364" s="12"/>
    </row>
    <row r="365">
      <c r="A365" s="12"/>
      <c r="B365" s="12"/>
    </row>
    <row r="366">
      <c r="A366" s="12"/>
      <c r="B366" s="12"/>
    </row>
    <row r="367">
      <c r="A367" s="12"/>
      <c r="B367" s="12"/>
    </row>
    <row r="368">
      <c r="A368" s="12"/>
      <c r="B368" s="12"/>
    </row>
    <row r="369">
      <c r="A369" s="12"/>
      <c r="B369" s="12"/>
    </row>
    <row r="370">
      <c r="A370" s="12"/>
      <c r="B370" s="12"/>
    </row>
    <row r="371">
      <c r="A371" s="12"/>
      <c r="B371" s="12"/>
    </row>
    <row r="372">
      <c r="A372" s="12"/>
      <c r="B372" s="12"/>
    </row>
    <row r="373">
      <c r="A373" s="12"/>
      <c r="B373" s="12"/>
    </row>
    <row r="374">
      <c r="A374" s="12"/>
      <c r="B374" s="12"/>
    </row>
    <row r="375">
      <c r="A375" s="12"/>
      <c r="B375" s="12"/>
    </row>
    <row r="376">
      <c r="A376" s="12"/>
      <c r="B376" s="12"/>
    </row>
    <row r="377">
      <c r="A377" s="12"/>
      <c r="B377" s="12"/>
    </row>
    <row r="378">
      <c r="A378" s="12"/>
      <c r="B378" s="12"/>
    </row>
    <row r="379">
      <c r="A379" s="12"/>
      <c r="B379" s="12"/>
    </row>
    <row r="380">
      <c r="A380" s="12"/>
      <c r="B380" s="12"/>
    </row>
    <row r="381">
      <c r="A381" s="12"/>
      <c r="B381" s="12"/>
    </row>
    <row r="382">
      <c r="A382" s="12"/>
      <c r="B382" s="12"/>
    </row>
    <row r="383">
      <c r="A383" s="12"/>
      <c r="B383" s="12"/>
    </row>
    <row r="384">
      <c r="A384" s="12"/>
      <c r="B384" s="12"/>
    </row>
    <row r="385">
      <c r="A385" s="12"/>
      <c r="B385" s="12"/>
    </row>
    <row r="386">
      <c r="A386" s="12"/>
      <c r="B386" s="12"/>
    </row>
    <row r="387">
      <c r="A387" s="12"/>
      <c r="B387" s="12"/>
    </row>
    <row r="388">
      <c r="A388" s="12"/>
      <c r="B388" s="12"/>
    </row>
    <row r="389">
      <c r="A389" s="12"/>
      <c r="B389" s="12"/>
    </row>
    <row r="390">
      <c r="A390" s="12"/>
      <c r="B390" s="12"/>
    </row>
    <row r="391">
      <c r="A391" s="12"/>
      <c r="B391" s="12"/>
    </row>
    <row r="392">
      <c r="A392" s="12"/>
      <c r="B392" s="12"/>
    </row>
    <row r="393">
      <c r="A393" s="12"/>
      <c r="B393" s="12"/>
    </row>
    <row r="394">
      <c r="A394" s="12"/>
      <c r="B394" s="12"/>
    </row>
    <row r="395">
      <c r="A395" s="12"/>
      <c r="B395" s="12"/>
    </row>
    <row r="396">
      <c r="A396" s="12"/>
      <c r="B396" s="12"/>
    </row>
    <row r="397">
      <c r="A397" s="12"/>
      <c r="B397" s="12"/>
    </row>
    <row r="398">
      <c r="A398" s="12"/>
      <c r="B398" s="12"/>
    </row>
    <row r="399">
      <c r="A399" s="12"/>
      <c r="B399" s="12"/>
    </row>
    <row r="400">
      <c r="A400" s="12"/>
      <c r="B400" s="12"/>
    </row>
    <row r="401">
      <c r="A401" s="12"/>
      <c r="B401" s="12"/>
    </row>
    <row r="402">
      <c r="A402" s="12"/>
      <c r="B402" s="12"/>
    </row>
    <row r="403">
      <c r="A403" s="12"/>
      <c r="B403" s="12"/>
    </row>
    <row r="404">
      <c r="A404" s="12"/>
      <c r="B404" s="12"/>
    </row>
    <row r="405">
      <c r="A405" s="12"/>
      <c r="B405" s="12"/>
    </row>
    <row r="406">
      <c r="A406" s="12"/>
      <c r="B406" s="12"/>
    </row>
    <row r="407">
      <c r="A407" s="12"/>
      <c r="B407" s="12"/>
    </row>
    <row r="408">
      <c r="A408" s="12"/>
      <c r="B408" s="12"/>
    </row>
    <row r="409">
      <c r="A409" s="12"/>
      <c r="B409" s="12"/>
    </row>
    <row r="410">
      <c r="A410" s="12"/>
      <c r="B410" s="12"/>
    </row>
    <row r="411">
      <c r="A411" s="12"/>
      <c r="B411" s="12"/>
    </row>
    <row r="412">
      <c r="A412" s="12"/>
      <c r="B412" s="12"/>
    </row>
    <row r="413">
      <c r="A413" s="12"/>
      <c r="B413" s="12"/>
    </row>
    <row r="414">
      <c r="A414" s="12"/>
      <c r="B414" s="12"/>
    </row>
    <row r="415">
      <c r="A415" s="12"/>
      <c r="B415" s="12"/>
    </row>
    <row r="416">
      <c r="A416" s="12"/>
      <c r="B416" s="12"/>
    </row>
    <row r="417">
      <c r="A417" s="12"/>
      <c r="B417" s="12"/>
    </row>
    <row r="418">
      <c r="A418" s="12"/>
      <c r="B418" s="12"/>
    </row>
    <row r="419">
      <c r="A419" s="12"/>
      <c r="B419" s="12"/>
    </row>
    <row r="420">
      <c r="A420" s="12"/>
      <c r="B420" s="12"/>
    </row>
    <row r="421">
      <c r="A421" s="12"/>
      <c r="B421" s="12"/>
    </row>
    <row r="422">
      <c r="A422" s="12"/>
      <c r="B422" s="12"/>
    </row>
    <row r="423">
      <c r="A423" s="12"/>
      <c r="B423" s="12"/>
    </row>
    <row r="424">
      <c r="A424" s="12"/>
      <c r="B424" s="12"/>
    </row>
    <row r="425">
      <c r="A425" s="12"/>
      <c r="B425" s="12"/>
    </row>
    <row r="426">
      <c r="A426" s="12"/>
      <c r="B426" s="12"/>
    </row>
    <row r="427">
      <c r="A427" s="12"/>
      <c r="B427" s="12"/>
    </row>
    <row r="428">
      <c r="A428" s="12"/>
      <c r="B428" s="12"/>
    </row>
    <row r="429">
      <c r="A429" s="12"/>
      <c r="B429" s="12"/>
    </row>
    <row r="430">
      <c r="A430" s="12"/>
      <c r="B430" s="12"/>
    </row>
    <row r="431">
      <c r="A431" s="12"/>
      <c r="B431" s="12"/>
    </row>
    <row r="432">
      <c r="A432" s="12"/>
      <c r="B432" s="12"/>
    </row>
    <row r="433">
      <c r="A433" s="12"/>
      <c r="B433" s="12"/>
    </row>
    <row r="434">
      <c r="A434" s="12"/>
      <c r="B434" s="12"/>
    </row>
    <row r="435">
      <c r="A435" s="12"/>
      <c r="B435" s="12"/>
    </row>
    <row r="436">
      <c r="A436" s="12"/>
      <c r="B436" s="12"/>
    </row>
    <row r="437">
      <c r="A437" s="12"/>
      <c r="B437" s="12"/>
    </row>
    <row r="438">
      <c r="A438" s="12"/>
      <c r="B438" s="12"/>
    </row>
    <row r="439">
      <c r="A439" s="12"/>
      <c r="B439" s="12"/>
    </row>
    <row r="440">
      <c r="A440" s="12"/>
      <c r="B440" s="12"/>
    </row>
    <row r="441">
      <c r="A441" s="12"/>
      <c r="B441" s="12"/>
    </row>
    <row r="442">
      <c r="A442" s="12"/>
      <c r="B442" s="12"/>
    </row>
    <row r="443">
      <c r="A443" s="12"/>
      <c r="B443" s="12"/>
    </row>
    <row r="444">
      <c r="A444" s="12"/>
      <c r="B444" s="12"/>
    </row>
    <row r="445">
      <c r="A445" s="12"/>
      <c r="B445" s="12"/>
    </row>
    <row r="446">
      <c r="A446" s="12"/>
      <c r="B446" s="12"/>
    </row>
    <row r="447">
      <c r="A447" s="12"/>
      <c r="B447" s="12"/>
    </row>
    <row r="448">
      <c r="A448" s="12"/>
      <c r="B448" s="12"/>
    </row>
    <row r="449">
      <c r="A449" s="12"/>
      <c r="B449" s="12"/>
    </row>
    <row r="450">
      <c r="A450" s="12"/>
      <c r="B450" s="12"/>
    </row>
    <row r="451">
      <c r="A451" s="12"/>
      <c r="B451" s="12"/>
    </row>
    <row r="452">
      <c r="A452" s="12"/>
      <c r="B452" s="12"/>
    </row>
    <row r="453">
      <c r="A453" s="12"/>
      <c r="B453" s="12"/>
    </row>
    <row r="454">
      <c r="A454" s="12"/>
      <c r="B454" s="12"/>
    </row>
    <row r="455">
      <c r="A455" s="12"/>
      <c r="B455" s="12"/>
    </row>
    <row r="456">
      <c r="A456" s="12"/>
      <c r="B456" s="12"/>
    </row>
    <row r="457">
      <c r="A457" s="12"/>
      <c r="B457" s="12"/>
    </row>
    <row r="458">
      <c r="A458" s="12"/>
      <c r="B458" s="12"/>
    </row>
    <row r="459">
      <c r="A459" s="12"/>
      <c r="B459" s="12"/>
    </row>
    <row r="460">
      <c r="A460" s="12"/>
      <c r="B460" s="12"/>
    </row>
    <row r="461">
      <c r="A461" s="12"/>
      <c r="B461" s="12"/>
    </row>
    <row r="462">
      <c r="A462" s="12"/>
      <c r="B462" s="12"/>
    </row>
    <row r="463">
      <c r="A463" s="12"/>
      <c r="B463" s="12"/>
    </row>
    <row r="464">
      <c r="A464" s="12"/>
      <c r="B464" s="12"/>
    </row>
    <row r="465">
      <c r="A465" s="12"/>
      <c r="B465" s="12"/>
    </row>
    <row r="466">
      <c r="A466" s="12"/>
      <c r="B466" s="12"/>
    </row>
    <row r="467">
      <c r="A467" s="12"/>
      <c r="B467" s="12"/>
    </row>
    <row r="468">
      <c r="A468" s="12"/>
      <c r="B468" s="12"/>
    </row>
    <row r="469">
      <c r="A469" s="12"/>
      <c r="B469" s="12"/>
    </row>
    <row r="470">
      <c r="A470" s="12"/>
      <c r="B470" s="12"/>
    </row>
    <row r="471">
      <c r="A471" s="12"/>
      <c r="B471" s="12"/>
    </row>
    <row r="472">
      <c r="A472" s="12"/>
      <c r="B472" s="12"/>
    </row>
    <row r="473">
      <c r="A473" s="12"/>
      <c r="B473" s="12"/>
    </row>
    <row r="474">
      <c r="A474" s="12"/>
      <c r="B474" s="12"/>
    </row>
    <row r="475">
      <c r="A475" s="12"/>
      <c r="B475" s="12"/>
    </row>
    <row r="476">
      <c r="A476" s="12"/>
      <c r="B476" s="12"/>
    </row>
    <row r="477">
      <c r="A477" s="12"/>
      <c r="B477" s="12"/>
    </row>
    <row r="478">
      <c r="A478" s="12"/>
      <c r="B478" s="12"/>
    </row>
    <row r="479">
      <c r="A479" s="12"/>
      <c r="B479" s="12"/>
    </row>
    <row r="480">
      <c r="A480" s="12"/>
      <c r="B480" s="12"/>
    </row>
    <row r="481">
      <c r="A481" s="12"/>
      <c r="B481" s="12"/>
    </row>
    <row r="482">
      <c r="A482" s="12"/>
      <c r="B482" s="12"/>
    </row>
    <row r="483">
      <c r="A483" s="12"/>
      <c r="B483" s="12"/>
    </row>
    <row r="484">
      <c r="A484" s="12"/>
      <c r="B484" s="12"/>
    </row>
    <row r="485">
      <c r="A485" s="12"/>
      <c r="B485" s="12"/>
    </row>
    <row r="486">
      <c r="A486" s="12"/>
      <c r="B486" s="12"/>
    </row>
    <row r="487">
      <c r="A487" s="12"/>
      <c r="B487" s="12"/>
    </row>
    <row r="488">
      <c r="A488" s="12"/>
      <c r="B488" s="12"/>
    </row>
    <row r="489">
      <c r="A489" s="12"/>
      <c r="B489" s="12"/>
    </row>
    <row r="490">
      <c r="A490" s="12"/>
      <c r="B490" s="12"/>
    </row>
    <row r="491">
      <c r="A491" s="12"/>
      <c r="B491" s="12"/>
    </row>
    <row r="492">
      <c r="A492" s="12"/>
      <c r="B492" s="12"/>
    </row>
    <row r="493">
      <c r="A493" s="12"/>
      <c r="B493" s="12"/>
    </row>
    <row r="494">
      <c r="A494" s="12"/>
      <c r="B494" s="12"/>
    </row>
    <row r="495">
      <c r="A495" s="12"/>
      <c r="B495" s="12"/>
    </row>
    <row r="496">
      <c r="A496" s="12"/>
      <c r="B496" s="12"/>
    </row>
    <row r="497">
      <c r="A497" s="12"/>
      <c r="B497" s="12"/>
    </row>
    <row r="498">
      <c r="A498" s="12"/>
      <c r="B498" s="12"/>
    </row>
    <row r="499">
      <c r="A499" s="12"/>
      <c r="B499" s="12"/>
    </row>
    <row r="500">
      <c r="A500" s="12"/>
      <c r="B500" s="12"/>
    </row>
    <row r="501">
      <c r="A501" s="12"/>
      <c r="B501" s="12"/>
    </row>
    <row r="502">
      <c r="A502" s="12"/>
      <c r="B502" s="12"/>
    </row>
    <row r="503">
      <c r="A503" s="12"/>
      <c r="B503" s="12"/>
    </row>
    <row r="504">
      <c r="A504" s="12"/>
      <c r="B504" s="12"/>
    </row>
    <row r="505">
      <c r="A505" s="12"/>
      <c r="B505" s="12"/>
    </row>
    <row r="506">
      <c r="A506" s="12"/>
      <c r="B506" s="12"/>
    </row>
    <row r="507">
      <c r="A507" s="12"/>
      <c r="B507" s="12"/>
    </row>
    <row r="508">
      <c r="A508" s="12"/>
      <c r="B508" s="12"/>
    </row>
    <row r="509">
      <c r="A509" s="12"/>
      <c r="B509" s="12"/>
    </row>
    <row r="510">
      <c r="A510" s="12"/>
      <c r="B510" s="12"/>
    </row>
    <row r="511">
      <c r="A511" s="12"/>
      <c r="B511" s="12"/>
    </row>
    <row r="512">
      <c r="A512" s="12"/>
      <c r="B512" s="12"/>
    </row>
    <row r="513">
      <c r="A513" s="12"/>
      <c r="B513" s="12"/>
    </row>
    <row r="514">
      <c r="A514" s="12"/>
      <c r="B514" s="12"/>
    </row>
    <row r="515">
      <c r="A515" s="12"/>
      <c r="B515" s="12"/>
    </row>
    <row r="516">
      <c r="A516" s="12"/>
      <c r="B516" s="12"/>
    </row>
    <row r="517">
      <c r="A517" s="12"/>
      <c r="B517" s="12"/>
    </row>
    <row r="518">
      <c r="A518" s="12"/>
      <c r="B518" s="12"/>
    </row>
    <row r="519">
      <c r="A519" s="12"/>
      <c r="B519" s="12"/>
    </row>
    <row r="520">
      <c r="A520" s="12"/>
      <c r="B520" s="12"/>
    </row>
    <row r="521">
      <c r="A521" s="12"/>
      <c r="B521" s="12"/>
    </row>
    <row r="522">
      <c r="A522" s="12"/>
      <c r="B522" s="12"/>
    </row>
    <row r="523">
      <c r="A523" s="12"/>
      <c r="B523" s="12"/>
    </row>
    <row r="524">
      <c r="A524" s="12"/>
      <c r="B524" s="12"/>
    </row>
    <row r="525">
      <c r="A525" s="12"/>
      <c r="B525" s="12"/>
    </row>
    <row r="526">
      <c r="A526" s="12"/>
      <c r="B526" s="12"/>
    </row>
    <row r="527">
      <c r="A527" s="12"/>
      <c r="B527" s="12"/>
    </row>
    <row r="528">
      <c r="A528" s="12"/>
      <c r="B528" s="12"/>
    </row>
    <row r="529">
      <c r="A529" s="12"/>
      <c r="B529" s="12"/>
    </row>
    <row r="530">
      <c r="A530" s="12"/>
      <c r="B530" s="12"/>
    </row>
    <row r="531">
      <c r="A531" s="12"/>
      <c r="B531" s="12"/>
    </row>
    <row r="532">
      <c r="A532" s="12"/>
      <c r="B532" s="12"/>
    </row>
    <row r="533">
      <c r="A533" s="12"/>
      <c r="B533" s="12"/>
    </row>
    <row r="534">
      <c r="A534" s="12"/>
      <c r="B534" s="12"/>
    </row>
    <row r="535">
      <c r="A535" s="12"/>
      <c r="B535" s="12"/>
    </row>
    <row r="536">
      <c r="A536" s="12"/>
      <c r="B536" s="12"/>
    </row>
    <row r="537">
      <c r="A537" s="12"/>
      <c r="B537" s="12"/>
    </row>
    <row r="538">
      <c r="A538" s="12"/>
      <c r="B538" s="12"/>
    </row>
    <row r="539">
      <c r="A539" s="12"/>
      <c r="B539" s="12"/>
    </row>
    <row r="540">
      <c r="A540" s="12"/>
      <c r="B540" s="12"/>
    </row>
    <row r="541">
      <c r="A541" s="12"/>
      <c r="B541" s="12"/>
    </row>
    <row r="542">
      <c r="A542" s="12"/>
      <c r="B542" s="12"/>
    </row>
    <row r="543">
      <c r="A543" s="12"/>
      <c r="B543" s="12"/>
    </row>
    <row r="544">
      <c r="A544" s="12"/>
      <c r="B544" s="12"/>
    </row>
    <row r="545">
      <c r="A545" s="12"/>
      <c r="B545" s="12"/>
    </row>
    <row r="546">
      <c r="A546" s="12"/>
      <c r="B546" s="12"/>
    </row>
    <row r="547">
      <c r="A547" s="12"/>
      <c r="B547" s="12"/>
    </row>
    <row r="548">
      <c r="A548" s="12"/>
      <c r="B548" s="12"/>
    </row>
    <row r="549">
      <c r="A549" s="12"/>
      <c r="B549" s="12"/>
    </row>
    <row r="550">
      <c r="A550" s="12"/>
      <c r="B550" s="12"/>
    </row>
    <row r="551">
      <c r="A551" s="12"/>
      <c r="B551" s="12"/>
    </row>
    <row r="552">
      <c r="A552" s="12"/>
      <c r="B552" s="12"/>
    </row>
    <row r="553">
      <c r="A553" s="12"/>
      <c r="B553" s="12"/>
    </row>
    <row r="554">
      <c r="A554" s="12"/>
      <c r="B554" s="12"/>
    </row>
    <row r="555">
      <c r="A555" s="12"/>
      <c r="B555" s="12"/>
    </row>
    <row r="556">
      <c r="A556" s="12"/>
      <c r="B556" s="12"/>
    </row>
    <row r="557">
      <c r="A557" s="12"/>
      <c r="B557" s="12"/>
    </row>
    <row r="558">
      <c r="A558" s="12"/>
      <c r="B558" s="12"/>
    </row>
    <row r="559">
      <c r="A559" s="12"/>
      <c r="B559" s="12"/>
    </row>
    <row r="560">
      <c r="A560" s="12"/>
      <c r="B560" s="12"/>
    </row>
    <row r="561">
      <c r="A561" s="12"/>
      <c r="B561" s="12"/>
    </row>
    <row r="562">
      <c r="A562" s="12"/>
      <c r="B562" s="12"/>
    </row>
    <row r="563">
      <c r="A563" s="12"/>
      <c r="B563" s="12"/>
    </row>
    <row r="564">
      <c r="A564" s="12"/>
      <c r="B564" s="12"/>
    </row>
    <row r="565">
      <c r="A565" s="12"/>
      <c r="B565" s="12"/>
    </row>
    <row r="566">
      <c r="A566" s="12"/>
      <c r="B566" s="12"/>
    </row>
    <row r="567">
      <c r="A567" s="12"/>
      <c r="B567" s="12"/>
    </row>
    <row r="568">
      <c r="A568" s="12"/>
      <c r="B568" s="12"/>
    </row>
    <row r="569">
      <c r="A569" s="12"/>
      <c r="B569" s="12"/>
    </row>
    <row r="570">
      <c r="A570" s="12"/>
      <c r="B570" s="12"/>
    </row>
    <row r="571">
      <c r="A571" s="12"/>
      <c r="B571" s="12"/>
    </row>
    <row r="572">
      <c r="A572" s="12"/>
      <c r="B572" s="12"/>
    </row>
    <row r="573">
      <c r="A573" s="12"/>
      <c r="B573" s="12"/>
    </row>
    <row r="574">
      <c r="A574" s="12"/>
      <c r="B574" s="12"/>
    </row>
    <row r="575">
      <c r="A575" s="12"/>
      <c r="B575" s="12"/>
    </row>
    <row r="576">
      <c r="A576" s="12"/>
      <c r="B576" s="12"/>
    </row>
    <row r="577">
      <c r="A577" s="12"/>
      <c r="B577" s="12"/>
    </row>
    <row r="578">
      <c r="A578" s="12"/>
      <c r="B578" s="12"/>
    </row>
    <row r="579">
      <c r="A579" s="12"/>
      <c r="B579" s="12"/>
    </row>
    <row r="580">
      <c r="A580" s="12"/>
      <c r="B580" s="12"/>
    </row>
    <row r="581">
      <c r="A581" s="12"/>
      <c r="B581" s="12"/>
    </row>
    <row r="582">
      <c r="A582" s="12"/>
      <c r="B582" s="12"/>
    </row>
    <row r="583">
      <c r="A583" s="12"/>
      <c r="B583" s="12"/>
    </row>
    <row r="584">
      <c r="A584" s="12"/>
      <c r="B584" s="12"/>
    </row>
    <row r="585">
      <c r="A585" s="12"/>
      <c r="B585" s="12"/>
    </row>
    <row r="586">
      <c r="A586" s="12"/>
      <c r="B586" s="12"/>
    </row>
    <row r="587">
      <c r="A587" s="12"/>
      <c r="B587" s="12"/>
    </row>
    <row r="588">
      <c r="A588" s="12"/>
      <c r="B588" s="12"/>
    </row>
    <row r="589">
      <c r="A589" s="12"/>
      <c r="B589" s="12"/>
    </row>
    <row r="590">
      <c r="A590" s="12"/>
      <c r="B590" s="12"/>
    </row>
    <row r="591">
      <c r="A591" s="12"/>
      <c r="B591" s="12"/>
    </row>
    <row r="592">
      <c r="A592" s="12"/>
      <c r="B592" s="12"/>
    </row>
    <row r="593">
      <c r="A593" s="12"/>
      <c r="B593" s="12"/>
    </row>
    <row r="594">
      <c r="A594" s="12"/>
      <c r="B594" s="12"/>
    </row>
    <row r="595">
      <c r="A595" s="12"/>
      <c r="B595" s="12"/>
    </row>
    <row r="596">
      <c r="A596" s="12"/>
      <c r="B596" s="12"/>
    </row>
    <row r="597">
      <c r="A597" s="12"/>
      <c r="B597" s="12"/>
    </row>
    <row r="598">
      <c r="A598" s="12"/>
      <c r="B598" s="12"/>
    </row>
    <row r="599">
      <c r="A599" s="12"/>
      <c r="B599" s="12"/>
    </row>
    <row r="600">
      <c r="A600" s="12"/>
      <c r="B600" s="12"/>
    </row>
    <row r="601">
      <c r="A601" s="12"/>
      <c r="B601" s="12"/>
    </row>
    <row r="602">
      <c r="A602" s="12"/>
      <c r="B602" s="12"/>
    </row>
    <row r="603">
      <c r="A603" s="12"/>
      <c r="B603" s="12"/>
    </row>
    <row r="604">
      <c r="A604" s="12"/>
      <c r="B604" s="12"/>
    </row>
    <row r="605">
      <c r="A605" s="12"/>
      <c r="B605" s="12"/>
    </row>
    <row r="606">
      <c r="A606" s="12"/>
      <c r="B606" s="12"/>
    </row>
    <row r="607">
      <c r="A607" s="12"/>
      <c r="B607" s="12"/>
    </row>
    <row r="608">
      <c r="A608" s="12"/>
      <c r="B608" s="12"/>
    </row>
    <row r="609">
      <c r="A609" s="12"/>
      <c r="B609" s="12"/>
    </row>
    <row r="610">
      <c r="A610" s="12"/>
      <c r="B610" s="12"/>
    </row>
    <row r="611">
      <c r="A611" s="12"/>
      <c r="B611" s="12"/>
    </row>
    <row r="612">
      <c r="A612" s="12"/>
      <c r="B612" s="12"/>
    </row>
    <row r="613">
      <c r="A613" s="12"/>
      <c r="B613" s="12"/>
    </row>
    <row r="614">
      <c r="A614" s="12"/>
      <c r="B614" s="12"/>
    </row>
    <row r="615">
      <c r="A615" s="12"/>
      <c r="B615" s="12"/>
    </row>
    <row r="616">
      <c r="A616" s="12"/>
      <c r="B616" s="12"/>
    </row>
    <row r="617">
      <c r="A617" s="12"/>
      <c r="B617" s="12"/>
    </row>
    <row r="618">
      <c r="A618" s="12"/>
      <c r="B618" s="12"/>
    </row>
    <row r="619">
      <c r="A619" s="12"/>
      <c r="B619" s="12"/>
    </row>
    <row r="620">
      <c r="A620" s="12"/>
      <c r="B620" s="12"/>
    </row>
    <row r="621">
      <c r="A621" s="12"/>
      <c r="B621" s="12"/>
    </row>
    <row r="622">
      <c r="A622" s="12"/>
      <c r="B622" s="12"/>
    </row>
    <row r="623">
      <c r="A623" s="12"/>
      <c r="B623" s="12"/>
    </row>
    <row r="624">
      <c r="A624" s="12"/>
      <c r="B624" s="12"/>
    </row>
    <row r="625">
      <c r="A625" s="12"/>
      <c r="B625" s="12"/>
    </row>
    <row r="626">
      <c r="A626" s="12"/>
      <c r="B626" s="12"/>
    </row>
    <row r="627">
      <c r="A627" s="12"/>
      <c r="B627" s="12"/>
    </row>
    <row r="628">
      <c r="A628" s="12"/>
      <c r="B628" s="12"/>
    </row>
    <row r="629">
      <c r="A629" s="12"/>
      <c r="B629" s="12"/>
    </row>
    <row r="630">
      <c r="A630" s="12"/>
      <c r="B630" s="12"/>
    </row>
    <row r="631">
      <c r="A631" s="12"/>
      <c r="B631" s="12"/>
    </row>
    <row r="632">
      <c r="A632" s="12"/>
      <c r="B632" s="12"/>
    </row>
    <row r="633">
      <c r="A633" s="12"/>
      <c r="B633" s="12"/>
    </row>
    <row r="634">
      <c r="A634" s="12"/>
      <c r="B634" s="12"/>
    </row>
    <row r="635">
      <c r="A635" s="12"/>
      <c r="B635" s="12"/>
    </row>
    <row r="636">
      <c r="A636" s="12"/>
      <c r="B636" s="12"/>
    </row>
    <row r="637">
      <c r="A637" s="12"/>
      <c r="B637" s="12"/>
    </row>
    <row r="638">
      <c r="A638" s="12"/>
      <c r="B638" s="12"/>
    </row>
    <row r="639">
      <c r="A639" s="12"/>
      <c r="B639" s="12"/>
    </row>
    <row r="640">
      <c r="A640" s="12"/>
      <c r="B640" s="12"/>
    </row>
    <row r="641">
      <c r="A641" s="12"/>
      <c r="B641" s="12"/>
    </row>
    <row r="642">
      <c r="A642" s="12"/>
      <c r="B642" s="12"/>
    </row>
    <row r="643">
      <c r="A643" s="12"/>
      <c r="B643" s="12"/>
    </row>
    <row r="644">
      <c r="A644" s="12"/>
      <c r="B644" s="12"/>
    </row>
    <row r="645">
      <c r="A645" s="12"/>
      <c r="B645" s="12"/>
    </row>
    <row r="646">
      <c r="A646" s="12"/>
      <c r="B646" s="12"/>
    </row>
    <row r="647">
      <c r="A647" s="12"/>
      <c r="B647" s="12"/>
    </row>
    <row r="648">
      <c r="A648" s="12"/>
      <c r="B648" s="12"/>
    </row>
    <row r="649">
      <c r="A649" s="12"/>
      <c r="B649" s="12"/>
    </row>
    <row r="650">
      <c r="A650" s="12"/>
      <c r="B650" s="12"/>
    </row>
    <row r="651">
      <c r="A651" s="12"/>
      <c r="B651" s="12"/>
    </row>
    <row r="652">
      <c r="A652" s="12"/>
      <c r="B652" s="12"/>
    </row>
    <row r="653">
      <c r="A653" s="12"/>
      <c r="B653" s="12"/>
    </row>
    <row r="654">
      <c r="A654" s="12"/>
      <c r="B654" s="12"/>
    </row>
    <row r="655">
      <c r="A655" s="12"/>
      <c r="B655" s="12"/>
    </row>
    <row r="656">
      <c r="A656" s="12"/>
      <c r="B656" s="12"/>
    </row>
    <row r="657">
      <c r="A657" s="12"/>
      <c r="B657" s="12"/>
    </row>
    <row r="658">
      <c r="A658" s="12"/>
      <c r="B658" s="12"/>
    </row>
    <row r="659">
      <c r="A659" s="12"/>
      <c r="B659" s="12"/>
    </row>
    <row r="660">
      <c r="A660" s="12"/>
      <c r="B660" s="12"/>
    </row>
    <row r="661">
      <c r="A661" s="12"/>
      <c r="B661" s="12"/>
    </row>
    <row r="662">
      <c r="A662" s="12"/>
      <c r="B662" s="12"/>
    </row>
    <row r="663">
      <c r="A663" s="12"/>
      <c r="B663" s="12"/>
    </row>
    <row r="664">
      <c r="A664" s="12"/>
      <c r="B664" s="12"/>
    </row>
    <row r="665">
      <c r="A665" s="12"/>
      <c r="B665" s="12"/>
    </row>
    <row r="666">
      <c r="A666" s="12"/>
      <c r="B666" s="12"/>
    </row>
    <row r="667">
      <c r="A667" s="12"/>
      <c r="B667" s="12"/>
    </row>
    <row r="668">
      <c r="A668" s="12"/>
      <c r="B668" s="12"/>
    </row>
    <row r="669">
      <c r="A669" s="12"/>
      <c r="B669" s="12"/>
    </row>
    <row r="670">
      <c r="A670" s="12"/>
      <c r="B670" s="12"/>
    </row>
    <row r="671">
      <c r="A671" s="12"/>
      <c r="B671" s="12"/>
    </row>
    <row r="672">
      <c r="A672" s="12"/>
      <c r="B672" s="12"/>
    </row>
    <row r="673">
      <c r="A673" s="12"/>
      <c r="B673" s="12"/>
    </row>
    <row r="674">
      <c r="A674" s="12"/>
      <c r="B674" s="12"/>
    </row>
    <row r="675">
      <c r="A675" s="12"/>
      <c r="B675" s="12"/>
    </row>
    <row r="676">
      <c r="A676" s="12"/>
      <c r="B676" s="12"/>
    </row>
    <row r="677">
      <c r="A677" s="12"/>
      <c r="B677" s="12"/>
    </row>
    <row r="678">
      <c r="A678" s="12"/>
      <c r="B678" s="12"/>
    </row>
    <row r="679">
      <c r="A679" s="12"/>
      <c r="B679" s="12"/>
    </row>
    <row r="680">
      <c r="A680" s="12"/>
      <c r="B680" s="12"/>
    </row>
    <row r="681">
      <c r="A681" s="12"/>
      <c r="B681" s="12"/>
    </row>
    <row r="682">
      <c r="A682" s="12"/>
      <c r="B682" s="12"/>
    </row>
    <row r="683">
      <c r="A683" s="12"/>
      <c r="B683" s="12"/>
    </row>
    <row r="684">
      <c r="A684" s="12"/>
      <c r="B684" s="12"/>
    </row>
    <row r="685">
      <c r="A685" s="12"/>
      <c r="B685" s="12"/>
    </row>
    <row r="686">
      <c r="A686" s="12"/>
      <c r="B686" s="12"/>
    </row>
    <row r="687">
      <c r="A687" s="12"/>
      <c r="B687" s="12"/>
    </row>
    <row r="688">
      <c r="A688" s="12"/>
      <c r="B688" s="12"/>
    </row>
    <row r="689">
      <c r="A689" s="12"/>
      <c r="B689" s="12"/>
    </row>
    <row r="690">
      <c r="A690" s="12"/>
      <c r="B690" s="12"/>
    </row>
    <row r="691">
      <c r="A691" s="12"/>
      <c r="B691" s="12"/>
    </row>
    <row r="692">
      <c r="A692" s="12"/>
      <c r="B692" s="12"/>
    </row>
    <row r="693">
      <c r="A693" s="12"/>
      <c r="B693" s="12"/>
    </row>
    <row r="694">
      <c r="A694" s="12"/>
      <c r="B694" s="12"/>
    </row>
    <row r="695">
      <c r="A695" s="12"/>
      <c r="B695" s="12"/>
    </row>
    <row r="696">
      <c r="A696" s="12"/>
      <c r="B696" s="12"/>
    </row>
    <row r="697">
      <c r="A697" s="12"/>
      <c r="B697" s="12"/>
    </row>
    <row r="698">
      <c r="A698" s="12"/>
      <c r="B698" s="12"/>
    </row>
    <row r="699">
      <c r="A699" s="12"/>
      <c r="B699" s="12"/>
    </row>
    <row r="700">
      <c r="A700" s="12"/>
      <c r="B700" s="12"/>
    </row>
    <row r="701">
      <c r="A701" s="12"/>
      <c r="B701" s="12"/>
    </row>
    <row r="702">
      <c r="A702" s="12"/>
      <c r="B702" s="12"/>
    </row>
    <row r="703">
      <c r="A703" s="12"/>
      <c r="B703" s="12"/>
    </row>
    <row r="704">
      <c r="A704" s="12"/>
      <c r="B704" s="12"/>
    </row>
    <row r="705">
      <c r="A705" s="12"/>
      <c r="B705" s="12"/>
    </row>
    <row r="706">
      <c r="A706" s="12"/>
      <c r="B706" s="12"/>
    </row>
    <row r="707">
      <c r="A707" s="12"/>
      <c r="B707" s="12"/>
    </row>
    <row r="708">
      <c r="A708" s="12"/>
      <c r="B708" s="12"/>
    </row>
    <row r="709">
      <c r="A709" s="12"/>
      <c r="B709" s="12"/>
    </row>
    <row r="710">
      <c r="A710" s="12"/>
      <c r="B710" s="12"/>
    </row>
    <row r="711">
      <c r="A711" s="12"/>
      <c r="B711" s="12"/>
    </row>
    <row r="712">
      <c r="A712" s="12"/>
      <c r="B712" s="12"/>
    </row>
    <row r="713">
      <c r="A713" s="12"/>
      <c r="B713" s="12"/>
    </row>
    <row r="714">
      <c r="A714" s="12"/>
      <c r="B714" s="12"/>
    </row>
    <row r="715">
      <c r="A715" s="12"/>
      <c r="B715" s="12"/>
    </row>
    <row r="716">
      <c r="A716" s="12"/>
      <c r="B716" s="12"/>
    </row>
    <row r="717">
      <c r="A717" s="12"/>
      <c r="B717" s="12"/>
    </row>
    <row r="718">
      <c r="A718" s="12"/>
      <c r="B718" s="12"/>
    </row>
    <row r="719">
      <c r="A719" s="12"/>
      <c r="B719" s="12"/>
    </row>
    <row r="720">
      <c r="A720" s="12"/>
      <c r="B720" s="12"/>
    </row>
    <row r="721">
      <c r="A721" s="12"/>
      <c r="B721" s="12"/>
    </row>
    <row r="722">
      <c r="A722" s="12"/>
      <c r="B722" s="12"/>
    </row>
    <row r="723">
      <c r="A723" s="12"/>
      <c r="B723" s="12"/>
    </row>
    <row r="724">
      <c r="A724" s="12"/>
      <c r="B724" s="12"/>
    </row>
    <row r="725">
      <c r="A725" s="12"/>
      <c r="B725" s="12"/>
    </row>
    <row r="726">
      <c r="A726" s="12"/>
      <c r="B726" s="12"/>
    </row>
    <row r="727">
      <c r="A727" s="12"/>
      <c r="B727" s="12"/>
    </row>
    <row r="728">
      <c r="A728" s="12"/>
      <c r="B728" s="12"/>
    </row>
    <row r="729">
      <c r="A729" s="12"/>
      <c r="B729" s="12"/>
    </row>
    <row r="730">
      <c r="A730" s="12"/>
      <c r="B730" s="12"/>
    </row>
    <row r="731">
      <c r="A731" s="12"/>
      <c r="B731" s="12"/>
    </row>
    <row r="732">
      <c r="A732" s="12"/>
      <c r="B732" s="12"/>
    </row>
    <row r="733">
      <c r="A733" s="12"/>
      <c r="B733" s="12"/>
    </row>
    <row r="734">
      <c r="A734" s="12"/>
      <c r="B734" s="12"/>
    </row>
    <row r="735">
      <c r="A735" s="12"/>
      <c r="B735" s="12"/>
    </row>
    <row r="736">
      <c r="A736" s="12"/>
      <c r="B736" s="12"/>
    </row>
    <row r="737">
      <c r="A737" s="12"/>
      <c r="B737" s="12"/>
    </row>
    <row r="738">
      <c r="A738" s="12"/>
      <c r="B738" s="12"/>
    </row>
    <row r="739">
      <c r="A739" s="12"/>
      <c r="B739" s="12"/>
    </row>
    <row r="740">
      <c r="A740" s="12"/>
      <c r="B740" s="12"/>
    </row>
    <row r="741">
      <c r="A741" s="12"/>
      <c r="B741" s="12"/>
    </row>
    <row r="742">
      <c r="A742" s="12"/>
      <c r="B742" s="12"/>
    </row>
    <row r="743">
      <c r="A743" s="12"/>
      <c r="B743" s="12"/>
    </row>
    <row r="744">
      <c r="A744" s="12"/>
      <c r="B744" s="12"/>
    </row>
    <row r="745">
      <c r="A745" s="12"/>
      <c r="B745" s="12"/>
    </row>
    <row r="746">
      <c r="A746" s="12"/>
      <c r="B746" s="12"/>
    </row>
    <row r="747">
      <c r="A747" s="12"/>
      <c r="B747" s="12"/>
    </row>
    <row r="748">
      <c r="A748" s="12"/>
      <c r="B748" s="12"/>
    </row>
    <row r="749">
      <c r="A749" s="12"/>
      <c r="B749" s="12"/>
    </row>
    <row r="750">
      <c r="A750" s="12"/>
      <c r="B750" s="12"/>
    </row>
    <row r="751">
      <c r="A751" s="12"/>
      <c r="B751" s="12"/>
    </row>
    <row r="752">
      <c r="A752" s="12"/>
      <c r="B752" s="12"/>
    </row>
    <row r="753">
      <c r="A753" s="12"/>
      <c r="B753" s="12"/>
    </row>
    <row r="754">
      <c r="A754" s="12"/>
      <c r="B754" s="12"/>
    </row>
    <row r="755">
      <c r="A755" s="12"/>
      <c r="B755" s="12"/>
    </row>
    <row r="756">
      <c r="A756" s="12"/>
      <c r="B756" s="12"/>
    </row>
    <row r="757">
      <c r="A757" s="12"/>
      <c r="B757" s="12"/>
    </row>
    <row r="758">
      <c r="A758" s="12"/>
      <c r="B758" s="12"/>
    </row>
    <row r="759">
      <c r="A759" s="12"/>
      <c r="B759" s="12"/>
    </row>
    <row r="760">
      <c r="A760" s="12"/>
      <c r="B760" s="12"/>
    </row>
    <row r="761">
      <c r="A761" s="12"/>
      <c r="B761" s="12"/>
    </row>
    <row r="762">
      <c r="A762" s="12"/>
      <c r="B762" s="12"/>
    </row>
    <row r="763">
      <c r="A763" s="12"/>
      <c r="B763" s="12"/>
    </row>
    <row r="764">
      <c r="A764" s="12"/>
      <c r="B764" s="12"/>
    </row>
    <row r="765">
      <c r="A765" s="12"/>
      <c r="B765" s="12"/>
    </row>
    <row r="766">
      <c r="A766" s="12"/>
      <c r="B766" s="12"/>
    </row>
    <row r="767">
      <c r="A767" s="12"/>
      <c r="B767" s="12"/>
    </row>
    <row r="768">
      <c r="A768" s="12"/>
      <c r="B768" s="12"/>
    </row>
    <row r="769">
      <c r="A769" s="12"/>
      <c r="B769" s="12"/>
    </row>
    <row r="770">
      <c r="A770" s="12"/>
      <c r="B770" s="12"/>
    </row>
    <row r="771">
      <c r="A771" s="12"/>
      <c r="B771" s="12"/>
    </row>
    <row r="772">
      <c r="A772" s="12"/>
      <c r="B772" s="12"/>
    </row>
    <row r="773">
      <c r="A773" s="12"/>
      <c r="B773" s="12"/>
    </row>
    <row r="774">
      <c r="A774" s="12"/>
      <c r="B774" s="12"/>
    </row>
    <row r="775">
      <c r="A775" s="12"/>
      <c r="B775" s="12"/>
    </row>
    <row r="776">
      <c r="A776" s="12"/>
      <c r="B776" s="12"/>
    </row>
    <row r="777">
      <c r="A777" s="12"/>
      <c r="B777" s="12"/>
    </row>
    <row r="778">
      <c r="A778" s="12"/>
      <c r="B778" s="12"/>
    </row>
    <row r="779">
      <c r="A779" s="12"/>
      <c r="B779" s="12"/>
    </row>
    <row r="780">
      <c r="A780" s="12"/>
      <c r="B780" s="12"/>
    </row>
    <row r="781">
      <c r="A781" s="12"/>
      <c r="B781" s="12"/>
    </row>
    <row r="782">
      <c r="A782" s="12"/>
      <c r="B782" s="12"/>
    </row>
    <row r="783">
      <c r="A783" s="12"/>
      <c r="B783" s="12"/>
    </row>
    <row r="784">
      <c r="A784" s="12"/>
      <c r="B784" s="12"/>
    </row>
    <row r="785">
      <c r="A785" s="12"/>
      <c r="B785" s="12"/>
    </row>
    <row r="786">
      <c r="A786" s="12"/>
      <c r="B786" s="12"/>
    </row>
    <row r="787">
      <c r="A787" s="12"/>
      <c r="B787" s="12"/>
    </row>
    <row r="788">
      <c r="A788" s="12"/>
      <c r="B788" s="12"/>
    </row>
    <row r="789">
      <c r="A789" s="12"/>
      <c r="B789" s="12"/>
    </row>
    <row r="790">
      <c r="A790" s="12"/>
      <c r="B790" s="12"/>
    </row>
    <row r="791">
      <c r="A791" s="12"/>
      <c r="B791" s="12"/>
    </row>
    <row r="792">
      <c r="A792" s="12"/>
      <c r="B792" s="12"/>
    </row>
    <row r="793">
      <c r="A793" s="12"/>
      <c r="B793" s="12"/>
    </row>
    <row r="794">
      <c r="A794" s="12"/>
      <c r="B794" s="12"/>
    </row>
    <row r="795">
      <c r="A795" s="12"/>
      <c r="B795" s="12"/>
    </row>
    <row r="796">
      <c r="A796" s="12"/>
      <c r="B796" s="12"/>
    </row>
    <row r="797">
      <c r="A797" s="12"/>
      <c r="B797" s="12"/>
    </row>
    <row r="798">
      <c r="A798" s="12"/>
      <c r="B798" s="12"/>
    </row>
    <row r="799">
      <c r="A799" s="12"/>
      <c r="B799" s="12"/>
    </row>
    <row r="800">
      <c r="A800" s="12"/>
      <c r="B800" s="12"/>
    </row>
    <row r="801">
      <c r="A801" s="12"/>
      <c r="B801" s="12"/>
    </row>
    <row r="802">
      <c r="A802" s="12"/>
      <c r="B802" s="12"/>
    </row>
    <row r="803">
      <c r="A803" s="12"/>
      <c r="B803" s="12"/>
    </row>
    <row r="804">
      <c r="A804" s="12"/>
      <c r="B804" s="12"/>
    </row>
    <row r="805">
      <c r="A805" s="12"/>
      <c r="B805" s="12"/>
    </row>
    <row r="806">
      <c r="A806" s="12"/>
      <c r="B806" s="12"/>
    </row>
    <row r="807">
      <c r="A807" s="12"/>
      <c r="B807" s="12"/>
    </row>
    <row r="808">
      <c r="A808" s="12"/>
      <c r="B808" s="12"/>
    </row>
    <row r="809">
      <c r="A809" s="12"/>
      <c r="B809" s="12"/>
    </row>
    <row r="810">
      <c r="A810" s="12"/>
      <c r="B810" s="12"/>
    </row>
    <row r="811">
      <c r="A811" s="12"/>
      <c r="B811" s="12"/>
    </row>
    <row r="812">
      <c r="A812" s="12"/>
      <c r="B812" s="12"/>
    </row>
    <row r="813">
      <c r="A813" s="12"/>
      <c r="B813" s="12"/>
    </row>
    <row r="814">
      <c r="A814" s="12"/>
      <c r="B814" s="12"/>
    </row>
    <row r="815">
      <c r="A815" s="12"/>
      <c r="B815" s="12"/>
    </row>
    <row r="816">
      <c r="A816" s="12"/>
      <c r="B816" s="12"/>
    </row>
    <row r="817">
      <c r="A817" s="12"/>
      <c r="B817" s="12"/>
    </row>
    <row r="818">
      <c r="A818" s="12"/>
      <c r="B818" s="12"/>
    </row>
    <row r="819">
      <c r="A819" s="12"/>
      <c r="B819" s="12"/>
    </row>
    <row r="820">
      <c r="A820" s="12"/>
      <c r="B820" s="12"/>
    </row>
    <row r="821">
      <c r="A821" s="12"/>
      <c r="B821" s="12"/>
    </row>
    <row r="822">
      <c r="A822" s="12"/>
      <c r="B822" s="12"/>
    </row>
    <row r="823">
      <c r="A823" s="12"/>
      <c r="B823" s="12"/>
    </row>
    <row r="824">
      <c r="A824" s="12"/>
      <c r="B824" s="12"/>
    </row>
    <row r="825">
      <c r="A825" s="12"/>
      <c r="B825" s="12"/>
    </row>
    <row r="826">
      <c r="A826" s="12"/>
      <c r="B826" s="12"/>
    </row>
    <row r="827">
      <c r="A827" s="12"/>
      <c r="B827" s="12"/>
    </row>
    <row r="828">
      <c r="A828" s="12"/>
      <c r="B828" s="12"/>
    </row>
    <row r="829">
      <c r="A829" s="12"/>
      <c r="B829" s="12"/>
    </row>
    <row r="830">
      <c r="A830" s="12"/>
      <c r="B830" s="12"/>
    </row>
    <row r="831">
      <c r="A831" s="12"/>
      <c r="B831" s="12"/>
    </row>
    <row r="832">
      <c r="A832" s="12"/>
      <c r="B832" s="12"/>
    </row>
    <row r="833">
      <c r="A833" s="12"/>
      <c r="B833" s="12"/>
    </row>
    <row r="834">
      <c r="A834" s="12"/>
      <c r="B834" s="12"/>
    </row>
    <row r="835">
      <c r="A835" s="12"/>
      <c r="B835" s="12"/>
    </row>
    <row r="836">
      <c r="A836" s="12"/>
      <c r="B836" s="12"/>
    </row>
    <row r="837">
      <c r="A837" s="12"/>
      <c r="B837" s="12"/>
    </row>
    <row r="838">
      <c r="A838" s="12"/>
      <c r="B838" s="12"/>
    </row>
    <row r="839">
      <c r="A839" s="12"/>
      <c r="B839" s="12"/>
    </row>
    <row r="840">
      <c r="A840" s="12"/>
      <c r="B840" s="12"/>
    </row>
    <row r="841">
      <c r="A841" s="12"/>
      <c r="B841" s="12"/>
    </row>
    <row r="842">
      <c r="A842" s="12"/>
      <c r="B842" s="12"/>
    </row>
    <row r="843">
      <c r="A843" s="12"/>
      <c r="B843" s="12"/>
    </row>
    <row r="844">
      <c r="A844" s="12"/>
      <c r="B844" s="12"/>
    </row>
    <row r="845">
      <c r="A845" s="12"/>
      <c r="B845" s="12"/>
    </row>
    <row r="846">
      <c r="A846" s="12"/>
      <c r="B846" s="12"/>
    </row>
    <row r="847">
      <c r="A847" s="12"/>
      <c r="B847" s="12"/>
    </row>
    <row r="848">
      <c r="A848" s="12"/>
      <c r="B848" s="12"/>
    </row>
    <row r="849">
      <c r="A849" s="12"/>
      <c r="B849" s="12"/>
    </row>
    <row r="850">
      <c r="A850" s="12"/>
      <c r="B850" s="12"/>
    </row>
    <row r="851">
      <c r="A851" s="12"/>
      <c r="B851" s="12"/>
    </row>
    <row r="852">
      <c r="A852" s="12"/>
      <c r="B852" s="12"/>
    </row>
    <row r="853">
      <c r="A853" s="12"/>
      <c r="B853" s="12"/>
    </row>
    <row r="854">
      <c r="A854" s="12"/>
      <c r="B854" s="12"/>
    </row>
    <row r="855">
      <c r="A855" s="12"/>
      <c r="B855" s="12"/>
    </row>
    <row r="856">
      <c r="A856" s="12"/>
      <c r="B856" s="12"/>
    </row>
    <row r="857">
      <c r="A857" s="12"/>
      <c r="B857" s="12"/>
    </row>
    <row r="858">
      <c r="A858" s="12"/>
      <c r="B858" s="12"/>
    </row>
    <row r="859">
      <c r="A859" s="12"/>
      <c r="B859" s="12"/>
    </row>
    <row r="860">
      <c r="A860" s="12"/>
      <c r="B860" s="12"/>
    </row>
    <row r="861">
      <c r="A861" s="12"/>
      <c r="B861" s="12"/>
    </row>
    <row r="862">
      <c r="A862" s="12"/>
      <c r="B862" s="12"/>
    </row>
    <row r="863">
      <c r="A863" s="12"/>
      <c r="B863" s="12"/>
    </row>
    <row r="864">
      <c r="A864" s="12"/>
      <c r="B864" s="12"/>
    </row>
    <row r="865">
      <c r="A865" s="12"/>
      <c r="B865" s="12"/>
    </row>
    <row r="866">
      <c r="A866" s="12"/>
      <c r="B866" s="12"/>
    </row>
    <row r="867">
      <c r="A867" s="12"/>
      <c r="B867" s="12"/>
    </row>
    <row r="868">
      <c r="A868" s="12"/>
      <c r="B868" s="12"/>
    </row>
    <row r="869">
      <c r="A869" s="12"/>
      <c r="B869" s="12"/>
    </row>
    <row r="870">
      <c r="A870" s="12"/>
      <c r="B870" s="12"/>
    </row>
    <row r="871">
      <c r="A871" s="12"/>
      <c r="B871" s="12"/>
    </row>
    <row r="872">
      <c r="A872" s="12"/>
      <c r="B872" s="12"/>
    </row>
    <row r="873">
      <c r="A873" s="12"/>
      <c r="B873" s="12"/>
    </row>
    <row r="874">
      <c r="A874" s="12"/>
      <c r="B874" s="12"/>
    </row>
    <row r="875">
      <c r="A875" s="12"/>
      <c r="B875" s="12"/>
    </row>
    <row r="876">
      <c r="A876" s="12"/>
      <c r="B876" s="12"/>
    </row>
    <row r="877">
      <c r="A877" s="12"/>
      <c r="B877" s="12"/>
    </row>
    <row r="878">
      <c r="A878" s="12"/>
      <c r="B878" s="12"/>
    </row>
    <row r="879">
      <c r="A879" s="12"/>
      <c r="B879" s="12"/>
    </row>
    <row r="880">
      <c r="A880" s="12"/>
      <c r="B880" s="12"/>
    </row>
    <row r="881">
      <c r="A881" s="12"/>
      <c r="B881" s="12"/>
    </row>
    <row r="882">
      <c r="A882" s="12"/>
      <c r="B882" s="12"/>
    </row>
    <row r="883">
      <c r="A883" s="12"/>
      <c r="B883" s="12"/>
    </row>
    <row r="884">
      <c r="A884" s="12"/>
      <c r="B884" s="12"/>
    </row>
    <row r="885">
      <c r="A885" s="12"/>
      <c r="B885" s="12"/>
    </row>
    <row r="886">
      <c r="A886" s="12"/>
      <c r="B886" s="12"/>
    </row>
    <row r="887">
      <c r="A887" s="12"/>
      <c r="B887" s="12"/>
    </row>
    <row r="888">
      <c r="A888" s="12"/>
      <c r="B888" s="12"/>
    </row>
    <row r="889">
      <c r="A889" s="12"/>
      <c r="B889" s="12"/>
    </row>
    <row r="890">
      <c r="A890" s="12"/>
      <c r="B890" s="12"/>
    </row>
    <row r="891">
      <c r="A891" s="12"/>
      <c r="B891" s="12"/>
    </row>
    <row r="892">
      <c r="A892" s="12"/>
      <c r="B892" s="12"/>
    </row>
    <row r="893">
      <c r="A893" s="12"/>
      <c r="B893" s="12"/>
    </row>
    <row r="894">
      <c r="A894" s="12"/>
      <c r="B894" s="12"/>
    </row>
    <row r="895">
      <c r="A895" s="12"/>
      <c r="B895" s="12"/>
    </row>
    <row r="896">
      <c r="A896" s="12"/>
      <c r="B896" s="12"/>
    </row>
    <row r="897">
      <c r="A897" s="12"/>
      <c r="B897" s="12"/>
    </row>
    <row r="898">
      <c r="A898" s="12"/>
      <c r="B898" s="12"/>
    </row>
    <row r="899">
      <c r="A899" s="12"/>
      <c r="B899" s="12"/>
    </row>
    <row r="900">
      <c r="A900" s="12"/>
      <c r="B900" s="12"/>
    </row>
    <row r="901">
      <c r="A901" s="12"/>
      <c r="B901" s="12"/>
    </row>
    <row r="902">
      <c r="A902" s="12"/>
      <c r="B902" s="12"/>
    </row>
    <row r="903">
      <c r="A903" s="12"/>
      <c r="B903" s="12"/>
    </row>
    <row r="904">
      <c r="A904" s="12"/>
      <c r="B904" s="12"/>
    </row>
    <row r="905">
      <c r="A905" s="12"/>
      <c r="B905" s="12"/>
    </row>
    <row r="906">
      <c r="A906" s="12"/>
      <c r="B906" s="12"/>
    </row>
    <row r="907">
      <c r="A907" s="12"/>
      <c r="B907" s="12"/>
    </row>
    <row r="908">
      <c r="A908" s="12"/>
      <c r="B908" s="12"/>
    </row>
    <row r="909">
      <c r="A909" s="12"/>
      <c r="B909" s="12"/>
    </row>
    <row r="910">
      <c r="A910" s="12"/>
      <c r="B910" s="12"/>
    </row>
    <row r="911">
      <c r="A911" s="12"/>
      <c r="B911" s="12"/>
    </row>
    <row r="912">
      <c r="A912" s="12"/>
      <c r="B912" s="12"/>
    </row>
    <row r="913">
      <c r="A913" s="12"/>
      <c r="B913" s="12"/>
    </row>
    <row r="914">
      <c r="A914" s="12"/>
      <c r="B914" s="12"/>
    </row>
    <row r="915">
      <c r="A915" s="12"/>
      <c r="B915" s="12"/>
    </row>
    <row r="916">
      <c r="A916" s="12"/>
      <c r="B916" s="12"/>
    </row>
    <row r="917">
      <c r="A917" s="12"/>
      <c r="B917" s="12"/>
    </row>
    <row r="918">
      <c r="A918" s="12"/>
      <c r="B918" s="12"/>
    </row>
    <row r="919">
      <c r="A919" s="12"/>
      <c r="B919" s="12"/>
    </row>
    <row r="920">
      <c r="A920" s="12"/>
      <c r="B920" s="12"/>
    </row>
    <row r="921">
      <c r="A921" s="12"/>
      <c r="B921" s="12"/>
    </row>
    <row r="922">
      <c r="A922" s="12"/>
      <c r="B922" s="12"/>
    </row>
    <row r="923">
      <c r="A923" s="12"/>
      <c r="B923" s="12"/>
    </row>
    <row r="924">
      <c r="A924" s="12"/>
      <c r="B924" s="12"/>
    </row>
    <row r="925">
      <c r="A925" s="12"/>
      <c r="B925" s="12"/>
    </row>
    <row r="926">
      <c r="A926" s="12"/>
      <c r="B926" s="12"/>
    </row>
    <row r="927">
      <c r="A927" s="12"/>
      <c r="B927" s="12"/>
    </row>
    <row r="928">
      <c r="A928" s="12"/>
      <c r="B928" s="12"/>
    </row>
    <row r="929">
      <c r="A929" s="12"/>
      <c r="B929" s="12"/>
    </row>
    <row r="930">
      <c r="A930" s="12"/>
      <c r="B930" s="12"/>
    </row>
    <row r="931">
      <c r="A931" s="12"/>
      <c r="B931" s="12"/>
    </row>
    <row r="932">
      <c r="A932" s="12"/>
      <c r="B932" s="12"/>
    </row>
    <row r="933">
      <c r="A933" s="12"/>
      <c r="B933" s="12"/>
    </row>
    <row r="934">
      <c r="A934" s="12"/>
      <c r="B934" s="12"/>
    </row>
    <row r="935">
      <c r="A935" s="12"/>
      <c r="B935" s="12"/>
    </row>
    <row r="936">
      <c r="A936" s="12"/>
      <c r="B936" s="12"/>
    </row>
    <row r="937">
      <c r="A937" s="12"/>
      <c r="B937" s="12"/>
    </row>
    <row r="938">
      <c r="A938" s="12"/>
      <c r="B938" s="12"/>
    </row>
    <row r="939">
      <c r="A939" s="12"/>
      <c r="B939" s="12"/>
    </row>
    <row r="940">
      <c r="A940" s="12"/>
      <c r="B940" s="12"/>
    </row>
    <row r="941">
      <c r="A941" s="12"/>
      <c r="B941" s="12"/>
    </row>
    <row r="942">
      <c r="A942" s="12"/>
      <c r="B942" s="12"/>
    </row>
    <row r="943">
      <c r="A943" s="12"/>
      <c r="B943" s="12"/>
    </row>
    <row r="944">
      <c r="A944" s="12"/>
      <c r="B944" s="12"/>
    </row>
    <row r="945">
      <c r="A945" s="12"/>
      <c r="B945" s="12"/>
    </row>
    <row r="946">
      <c r="A946" s="12"/>
      <c r="B946" s="12"/>
    </row>
    <row r="947">
      <c r="A947" s="12"/>
      <c r="B947" s="12"/>
    </row>
    <row r="948">
      <c r="A948" s="12"/>
      <c r="B948" s="12"/>
    </row>
    <row r="949">
      <c r="A949" s="12"/>
      <c r="B949" s="12"/>
    </row>
    <row r="950">
      <c r="A950" s="12"/>
      <c r="B950" s="12"/>
    </row>
    <row r="951">
      <c r="A951" s="12"/>
      <c r="B951" s="12"/>
    </row>
    <row r="952">
      <c r="A952" s="12"/>
      <c r="B952" s="12"/>
    </row>
    <row r="953">
      <c r="A953" s="12"/>
      <c r="B953" s="12"/>
    </row>
    <row r="954">
      <c r="A954" s="12"/>
      <c r="B954" s="12"/>
    </row>
    <row r="955">
      <c r="A955" s="12"/>
      <c r="B955" s="12"/>
    </row>
    <row r="956">
      <c r="A956" s="12"/>
      <c r="B956" s="12"/>
    </row>
    <row r="957">
      <c r="A957" s="12"/>
      <c r="B957" s="12"/>
    </row>
    <row r="958">
      <c r="A958" s="12"/>
      <c r="B958" s="12"/>
    </row>
    <row r="959">
      <c r="A959" s="12"/>
      <c r="B959" s="12"/>
    </row>
    <row r="960">
      <c r="A960" s="12"/>
      <c r="B960" s="12"/>
    </row>
    <row r="961">
      <c r="A961" s="12"/>
      <c r="B961" s="12"/>
    </row>
    <row r="962">
      <c r="A962" s="12"/>
      <c r="B962" s="12"/>
    </row>
    <row r="963">
      <c r="A963" s="12"/>
      <c r="B963" s="12"/>
    </row>
    <row r="964">
      <c r="A964" s="12"/>
      <c r="B964" s="12"/>
    </row>
    <row r="965">
      <c r="A965" s="12"/>
      <c r="B965" s="12"/>
    </row>
    <row r="966">
      <c r="A966" s="12"/>
      <c r="B966" s="12"/>
    </row>
    <row r="967">
      <c r="A967" s="12"/>
      <c r="B967" s="12"/>
    </row>
    <row r="968">
      <c r="A968" s="12"/>
      <c r="B968" s="12"/>
    </row>
    <row r="969">
      <c r="A969" s="12"/>
      <c r="B969" s="12"/>
    </row>
    <row r="970">
      <c r="A970" s="12"/>
      <c r="B970" s="12"/>
    </row>
    <row r="971">
      <c r="A971" s="12"/>
      <c r="B971" s="12"/>
    </row>
    <row r="972">
      <c r="A972" s="12"/>
      <c r="B972" s="12"/>
    </row>
    <row r="973">
      <c r="A973" s="12"/>
      <c r="B973" s="12"/>
    </row>
    <row r="974">
      <c r="A974" s="12"/>
      <c r="B974" s="12"/>
    </row>
    <row r="975">
      <c r="A975" s="12"/>
      <c r="B975" s="12"/>
    </row>
    <row r="976">
      <c r="A976" s="12"/>
      <c r="B976" s="12"/>
    </row>
    <row r="977">
      <c r="A977" s="12"/>
      <c r="B977" s="12"/>
    </row>
    <row r="978">
      <c r="A978" s="12"/>
      <c r="B978" s="12"/>
    </row>
    <row r="979">
      <c r="A979" s="12"/>
      <c r="B979" s="12"/>
    </row>
    <row r="980">
      <c r="A980" s="12"/>
      <c r="B980" s="12"/>
    </row>
    <row r="981">
      <c r="A981" s="12"/>
      <c r="B981" s="12"/>
    </row>
    <row r="982">
      <c r="A982" s="12"/>
      <c r="B982" s="12"/>
    </row>
    <row r="983">
      <c r="A983" s="12"/>
      <c r="B983" s="12"/>
    </row>
    <row r="984">
      <c r="A984" s="12"/>
      <c r="B984" s="12"/>
    </row>
    <row r="985">
      <c r="A985" s="12"/>
      <c r="B985" s="12"/>
    </row>
    <row r="986">
      <c r="A986" s="12"/>
      <c r="B986" s="12"/>
    </row>
    <row r="987">
      <c r="A987" s="12"/>
      <c r="B987" s="12"/>
    </row>
    <row r="988">
      <c r="A988" s="12"/>
      <c r="B988" s="12"/>
    </row>
    <row r="989">
      <c r="A989" s="12"/>
      <c r="B989" s="12"/>
    </row>
    <row r="990">
      <c r="A990" s="12"/>
      <c r="B990" s="12"/>
    </row>
    <row r="991">
      <c r="A991" s="12"/>
      <c r="B991" s="12"/>
    </row>
    <row r="992">
      <c r="A992" s="12"/>
      <c r="B992" s="12"/>
    </row>
    <row r="993">
      <c r="A993" s="12"/>
      <c r="B993" s="12"/>
    </row>
    <row r="994">
      <c r="A994" s="12"/>
      <c r="B994" s="12"/>
    </row>
    <row r="995">
      <c r="A995" s="12"/>
      <c r="B995" s="12"/>
    </row>
    <row r="996">
      <c r="A996" s="12"/>
      <c r="B996" s="12"/>
    </row>
    <row r="997">
      <c r="A997" s="12"/>
      <c r="B997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7.13"/>
    <col customWidth="1" min="3" max="3" width="6.13"/>
    <col customWidth="1" min="4" max="4" width="8.75"/>
    <col customWidth="1" min="5" max="5" width="7.25"/>
    <col customWidth="1" min="6" max="8" width="6.13"/>
    <col customWidth="1" min="9" max="9" width="7.63"/>
    <col customWidth="1" min="10" max="10" width="6.13"/>
    <col customWidth="1" min="11" max="11" width="9.13"/>
    <col customWidth="1" min="12" max="13" width="6.5"/>
    <col customWidth="1" min="14" max="14" width="6.63"/>
    <col customWidth="1" min="15" max="15" width="6.75"/>
    <col customWidth="1" min="16" max="20" width="6.63"/>
    <col customWidth="1" min="21" max="23" width="6.5"/>
    <col customWidth="1" min="24" max="30" width="7.63"/>
  </cols>
  <sheetData>
    <row r="1">
      <c r="A1" s="13" t="s">
        <v>27</v>
      </c>
      <c r="B1" s="14" t="s">
        <v>28</v>
      </c>
      <c r="C1" s="15"/>
      <c r="D1" s="15"/>
      <c r="E1" s="15"/>
      <c r="F1" s="15"/>
      <c r="G1" s="15"/>
      <c r="H1" s="15"/>
      <c r="I1" s="15"/>
      <c r="J1" s="15"/>
      <c r="K1" s="16"/>
      <c r="L1" s="17" t="s">
        <v>29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6"/>
      <c r="AD1" s="18"/>
    </row>
    <row r="2">
      <c r="A2" s="19"/>
      <c r="B2" s="20">
        <v>2030.0</v>
      </c>
      <c r="C2" s="21">
        <v>2029.0</v>
      </c>
      <c r="D2" s="21">
        <v>2028.0</v>
      </c>
      <c r="E2" s="21">
        <v>2027.0</v>
      </c>
      <c r="F2" s="22">
        <v>2026.0</v>
      </c>
      <c r="G2" s="20">
        <v>2025.0</v>
      </c>
      <c r="H2" s="21">
        <v>2024.0</v>
      </c>
      <c r="I2" s="21">
        <v>2023.0</v>
      </c>
      <c r="J2" s="21">
        <v>2022.0</v>
      </c>
      <c r="K2" s="23">
        <v>2021.0</v>
      </c>
      <c r="L2" s="24">
        <v>2020.0</v>
      </c>
      <c r="M2" s="25">
        <v>2019.0</v>
      </c>
      <c r="N2" s="25">
        <v>2018.0</v>
      </c>
      <c r="O2" s="25">
        <v>2017.0</v>
      </c>
      <c r="P2" s="25">
        <v>2016.0</v>
      </c>
      <c r="Q2" s="25">
        <v>2015.0</v>
      </c>
      <c r="R2" s="25">
        <v>2014.0</v>
      </c>
      <c r="S2" s="25">
        <v>2013.0</v>
      </c>
      <c r="T2" s="25">
        <v>2012.0</v>
      </c>
      <c r="U2" s="25">
        <v>2011.0</v>
      </c>
      <c r="V2" s="25">
        <v>2010.0</v>
      </c>
      <c r="W2" s="25">
        <v>2009.0</v>
      </c>
      <c r="X2" s="25">
        <v>2008.0</v>
      </c>
      <c r="Y2" s="25">
        <v>2007.0</v>
      </c>
      <c r="Z2" s="25">
        <v>2006.0</v>
      </c>
      <c r="AA2" s="25">
        <v>2005.0</v>
      </c>
      <c r="AB2" s="25">
        <v>2004.0</v>
      </c>
      <c r="AC2" s="26">
        <v>2003.0</v>
      </c>
      <c r="AD2" s="27"/>
    </row>
    <row r="3">
      <c r="A3" s="28">
        <v>1.0</v>
      </c>
      <c r="B3" s="29"/>
      <c r="C3" s="30"/>
      <c r="D3" s="30"/>
      <c r="E3" s="30"/>
      <c r="F3" s="31"/>
      <c r="G3" s="30" t="s">
        <v>30</v>
      </c>
      <c r="H3" s="30" t="s">
        <v>31</v>
      </c>
      <c r="I3" s="30" t="s">
        <v>32</v>
      </c>
      <c r="J3" s="30" t="s">
        <v>33</v>
      </c>
      <c r="K3" s="31" t="s">
        <v>34</v>
      </c>
      <c r="L3" s="32" t="s">
        <v>35</v>
      </c>
      <c r="M3" s="30" t="s">
        <v>32</v>
      </c>
      <c r="N3" s="29" t="s">
        <v>36</v>
      </c>
      <c r="O3" s="29" t="s">
        <v>37</v>
      </c>
      <c r="P3" s="29" t="s">
        <v>38</v>
      </c>
      <c r="Q3" s="29" t="s">
        <v>30</v>
      </c>
      <c r="R3" s="29" t="s">
        <v>39</v>
      </c>
      <c r="S3" s="29" t="s">
        <v>37</v>
      </c>
      <c r="T3" s="29" t="s">
        <v>37</v>
      </c>
      <c r="U3" s="29" t="s">
        <v>38</v>
      </c>
      <c r="V3" s="29" t="s">
        <v>40</v>
      </c>
      <c r="W3" s="29" t="s">
        <v>38</v>
      </c>
      <c r="X3" s="29" t="s">
        <v>41</v>
      </c>
      <c r="Y3" s="29" t="s">
        <v>42</v>
      </c>
      <c r="Z3" s="29" t="s">
        <v>36</v>
      </c>
      <c r="AA3" s="29" t="s">
        <v>36</v>
      </c>
      <c r="AB3" s="29" t="s">
        <v>39</v>
      </c>
      <c r="AC3" s="33" t="s">
        <v>36</v>
      </c>
      <c r="AD3" s="34"/>
    </row>
    <row r="4">
      <c r="A4" s="35">
        <v>2.0</v>
      </c>
      <c r="B4" s="36"/>
      <c r="C4" s="37"/>
      <c r="D4" s="37"/>
      <c r="E4" s="37"/>
      <c r="F4" s="38"/>
      <c r="G4" s="37" t="s">
        <v>32</v>
      </c>
      <c r="H4" s="37" t="s">
        <v>38</v>
      </c>
      <c r="I4" s="37" t="s">
        <v>34</v>
      </c>
      <c r="J4" s="37" t="s">
        <v>38</v>
      </c>
      <c r="K4" s="38" t="s">
        <v>39</v>
      </c>
      <c r="L4" s="39" t="s">
        <v>33</v>
      </c>
      <c r="M4" s="36" t="s">
        <v>31</v>
      </c>
      <c r="N4" s="36" t="s">
        <v>31</v>
      </c>
      <c r="O4" s="36" t="s">
        <v>39</v>
      </c>
      <c r="P4" s="36" t="s">
        <v>30</v>
      </c>
      <c r="Q4" s="36" t="s">
        <v>38</v>
      </c>
      <c r="R4" s="36" t="s">
        <v>42</v>
      </c>
      <c r="S4" s="36" t="s">
        <v>31</v>
      </c>
      <c r="T4" s="36" t="s">
        <v>43</v>
      </c>
      <c r="U4" s="36" t="s">
        <v>34</v>
      </c>
      <c r="V4" s="36" t="s">
        <v>38</v>
      </c>
      <c r="W4" s="36" t="s">
        <v>39</v>
      </c>
      <c r="X4" s="36" t="s">
        <v>42</v>
      </c>
      <c r="Y4" s="36" t="s">
        <v>41</v>
      </c>
      <c r="Z4" s="36" t="s">
        <v>44</v>
      </c>
      <c r="AA4" s="36" t="s">
        <v>39</v>
      </c>
      <c r="AB4" s="36" t="s">
        <v>35</v>
      </c>
      <c r="AC4" s="40" t="s">
        <v>42</v>
      </c>
      <c r="AD4" s="34"/>
    </row>
    <row r="5">
      <c r="A5" s="35">
        <v>3.0</v>
      </c>
      <c r="B5" s="36"/>
      <c r="C5" s="37"/>
      <c r="D5" s="37"/>
      <c r="E5" s="37"/>
      <c r="F5" s="38"/>
      <c r="G5" s="37" t="s">
        <v>38</v>
      </c>
      <c r="H5" s="37" t="s">
        <v>45</v>
      </c>
      <c r="I5" s="37" t="s">
        <v>31</v>
      </c>
      <c r="J5" s="37" t="s">
        <v>35</v>
      </c>
      <c r="K5" s="38" t="s">
        <v>46</v>
      </c>
      <c r="L5" s="41" t="s">
        <v>39</v>
      </c>
      <c r="M5" s="36" t="s">
        <v>39</v>
      </c>
      <c r="N5" s="37" t="s">
        <v>33</v>
      </c>
      <c r="O5" s="36" t="s">
        <v>35</v>
      </c>
      <c r="P5" s="36" t="s">
        <v>43</v>
      </c>
      <c r="Q5" s="36" t="s">
        <v>39</v>
      </c>
      <c r="R5" s="36" t="s">
        <v>43</v>
      </c>
      <c r="S5" s="36" t="s">
        <v>36</v>
      </c>
      <c r="T5" s="36" t="s">
        <v>47</v>
      </c>
      <c r="U5" s="36" t="s">
        <v>43</v>
      </c>
      <c r="V5" s="36" t="s">
        <v>39</v>
      </c>
      <c r="W5" s="36" t="s">
        <v>42</v>
      </c>
      <c r="X5" s="36" t="s">
        <v>48</v>
      </c>
      <c r="Y5" s="36" t="s">
        <v>49</v>
      </c>
      <c r="Z5" s="37" t="s">
        <v>33</v>
      </c>
      <c r="AA5" s="36" t="s">
        <v>41</v>
      </c>
      <c r="AB5" s="36" t="s">
        <v>30</v>
      </c>
      <c r="AC5" s="40" t="s">
        <v>35</v>
      </c>
      <c r="AD5" s="34"/>
    </row>
    <row r="6">
      <c r="A6" s="35">
        <v>4.0</v>
      </c>
      <c r="B6" s="36"/>
      <c r="C6" s="37"/>
      <c r="D6" s="37"/>
      <c r="E6" s="37"/>
      <c r="F6" s="42"/>
      <c r="G6" s="37" t="s">
        <v>42</v>
      </c>
      <c r="H6" s="37" t="s">
        <v>46</v>
      </c>
      <c r="I6" s="37" t="s">
        <v>38</v>
      </c>
      <c r="J6" s="37" t="s">
        <v>46</v>
      </c>
      <c r="K6" s="42" t="s">
        <v>33</v>
      </c>
      <c r="L6" s="41" t="s">
        <v>46</v>
      </c>
      <c r="M6" s="36" t="s">
        <v>38</v>
      </c>
      <c r="N6" s="36" t="s">
        <v>38</v>
      </c>
      <c r="O6" s="36" t="s">
        <v>30</v>
      </c>
      <c r="P6" s="36" t="s">
        <v>39</v>
      </c>
      <c r="Q6" s="36" t="s">
        <v>36</v>
      </c>
      <c r="R6" s="36" t="s">
        <v>31</v>
      </c>
      <c r="S6" s="36" t="s">
        <v>35</v>
      </c>
      <c r="T6" s="37" t="s">
        <v>33</v>
      </c>
      <c r="U6" s="36" t="s">
        <v>42</v>
      </c>
      <c r="V6" s="36" t="s">
        <v>36</v>
      </c>
      <c r="W6" s="36" t="s">
        <v>40</v>
      </c>
      <c r="X6" s="37" t="s">
        <v>33</v>
      </c>
      <c r="Y6" s="37" t="s">
        <v>33</v>
      </c>
      <c r="Z6" s="36" t="s">
        <v>50</v>
      </c>
      <c r="AA6" s="36" t="s">
        <v>30</v>
      </c>
      <c r="AB6" s="37" t="s">
        <v>33</v>
      </c>
      <c r="AC6" s="40" t="s">
        <v>49</v>
      </c>
      <c r="AD6" s="34"/>
    </row>
    <row r="7">
      <c r="A7" s="35">
        <v>5.0</v>
      </c>
      <c r="B7" s="36"/>
      <c r="C7" s="37"/>
      <c r="D7" s="37"/>
      <c r="E7" s="37"/>
      <c r="F7" s="38"/>
      <c r="G7" s="37" t="s">
        <v>39</v>
      </c>
      <c r="H7" s="37" t="s">
        <v>34</v>
      </c>
      <c r="I7" s="37" t="s">
        <v>35</v>
      </c>
      <c r="J7" s="37" t="s">
        <v>39</v>
      </c>
      <c r="K7" s="38" t="s">
        <v>31</v>
      </c>
      <c r="L7" s="41" t="s">
        <v>31</v>
      </c>
      <c r="M7" s="36" t="s">
        <v>30</v>
      </c>
      <c r="N7" s="37" t="s">
        <v>32</v>
      </c>
      <c r="O7" s="36" t="s">
        <v>38</v>
      </c>
      <c r="P7" s="36" t="s">
        <v>34</v>
      </c>
      <c r="Q7" s="36" t="s">
        <v>34</v>
      </c>
      <c r="R7" s="36" t="s">
        <v>30</v>
      </c>
      <c r="S7" s="36" t="s">
        <v>47</v>
      </c>
      <c r="T7" s="36" t="s">
        <v>34</v>
      </c>
      <c r="U7" s="36" t="s">
        <v>48</v>
      </c>
      <c r="V7" s="36" t="s">
        <v>42</v>
      </c>
      <c r="W7" s="36" t="s">
        <v>31</v>
      </c>
      <c r="X7" s="36" t="s">
        <v>31</v>
      </c>
      <c r="Y7" s="36" t="s">
        <v>31</v>
      </c>
      <c r="Z7" s="43" t="s">
        <v>49</v>
      </c>
      <c r="AA7" s="43" t="s">
        <v>50</v>
      </c>
      <c r="AB7" s="43" t="s">
        <v>49</v>
      </c>
      <c r="AC7" s="44" t="s">
        <v>44</v>
      </c>
      <c r="AD7" s="45"/>
    </row>
    <row r="8">
      <c r="A8" s="35">
        <v>6.0</v>
      </c>
      <c r="B8" s="36"/>
      <c r="C8" s="37"/>
      <c r="D8" s="37"/>
      <c r="E8" s="37"/>
      <c r="F8" s="38"/>
      <c r="G8" s="37" t="s">
        <v>31</v>
      </c>
      <c r="H8" s="37" t="s">
        <v>30</v>
      </c>
      <c r="I8" s="37" t="s">
        <v>33</v>
      </c>
      <c r="J8" s="37" t="s">
        <v>36</v>
      </c>
      <c r="K8" s="38" t="s">
        <v>38</v>
      </c>
      <c r="L8" s="41" t="s">
        <v>37</v>
      </c>
      <c r="M8" s="36" t="s">
        <v>37</v>
      </c>
      <c r="N8" s="36" t="s">
        <v>30</v>
      </c>
      <c r="O8" s="36" t="s">
        <v>31</v>
      </c>
      <c r="P8" s="36" t="s">
        <v>36</v>
      </c>
      <c r="Q8" s="37" t="s">
        <v>33</v>
      </c>
      <c r="R8" s="36" t="s">
        <v>34</v>
      </c>
      <c r="S8" s="36" t="s">
        <v>42</v>
      </c>
      <c r="T8" s="36" t="s">
        <v>42</v>
      </c>
      <c r="U8" s="36" t="s">
        <v>36</v>
      </c>
      <c r="V8" s="36" t="s">
        <v>48</v>
      </c>
      <c r="W8" s="36" t="s">
        <v>35</v>
      </c>
      <c r="X8" s="36" t="s">
        <v>44</v>
      </c>
      <c r="Y8" s="36" t="s">
        <v>39</v>
      </c>
      <c r="Z8" s="43" t="s">
        <v>42</v>
      </c>
      <c r="AA8" s="43" t="s">
        <v>49</v>
      </c>
      <c r="AB8" s="43" t="s">
        <v>50</v>
      </c>
      <c r="AC8" s="44" t="s">
        <v>51</v>
      </c>
      <c r="AD8" s="45"/>
    </row>
    <row r="9">
      <c r="A9" s="35">
        <v>7.0</v>
      </c>
      <c r="B9" s="43"/>
      <c r="C9" s="46"/>
      <c r="D9" s="46"/>
      <c r="E9" s="46"/>
      <c r="F9" s="47"/>
      <c r="G9" s="46" t="s">
        <v>46</v>
      </c>
      <c r="H9" s="46" t="s">
        <v>36</v>
      </c>
      <c r="I9" s="46" t="s">
        <v>30</v>
      </c>
      <c r="J9" s="46" t="s">
        <v>31</v>
      </c>
      <c r="K9" s="47" t="s">
        <v>36</v>
      </c>
      <c r="L9" s="48" t="s">
        <v>42</v>
      </c>
      <c r="M9" s="43" t="s">
        <v>42</v>
      </c>
      <c r="N9" s="43" t="s">
        <v>42</v>
      </c>
      <c r="O9" s="46" t="s">
        <v>41</v>
      </c>
      <c r="P9" s="43" t="s">
        <v>47</v>
      </c>
      <c r="Q9" s="43" t="s">
        <v>35</v>
      </c>
      <c r="R9" s="46" t="s">
        <v>33</v>
      </c>
      <c r="S9" s="46" t="s">
        <v>33</v>
      </c>
      <c r="T9" s="43" t="s">
        <v>48</v>
      </c>
      <c r="U9" s="43" t="s">
        <v>31</v>
      </c>
      <c r="V9" s="43" t="s">
        <v>41</v>
      </c>
      <c r="W9" s="46" t="s">
        <v>33</v>
      </c>
      <c r="X9" s="43" t="s">
        <v>38</v>
      </c>
      <c r="Y9" s="43" t="s">
        <v>36</v>
      </c>
      <c r="Z9" s="43" t="s">
        <v>35</v>
      </c>
      <c r="AA9" s="43" t="s">
        <v>44</v>
      </c>
      <c r="AB9" s="43" t="s">
        <v>44</v>
      </c>
      <c r="AC9" s="44" t="s">
        <v>52</v>
      </c>
      <c r="AD9" s="45"/>
    </row>
    <row r="10">
      <c r="A10" s="35">
        <v>8.0</v>
      </c>
      <c r="B10" s="43"/>
      <c r="C10" s="46"/>
      <c r="D10" s="46"/>
      <c r="E10" s="46"/>
      <c r="F10" s="47"/>
      <c r="G10" s="46" t="s">
        <v>36</v>
      </c>
      <c r="H10" s="46" t="s">
        <v>42</v>
      </c>
      <c r="I10" s="46" t="s">
        <v>39</v>
      </c>
      <c r="J10" s="46" t="s">
        <v>34</v>
      </c>
      <c r="K10" s="47" t="s">
        <v>35</v>
      </c>
      <c r="L10" s="48" t="s">
        <v>30</v>
      </c>
      <c r="M10" s="46" t="s">
        <v>33</v>
      </c>
      <c r="N10" s="43" t="s">
        <v>43</v>
      </c>
      <c r="O10" s="46" t="s">
        <v>33</v>
      </c>
      <c r="P10" s="43" t="s">
        <v>42</v>
      </c>
      <c r="Q10" s="43" t="s">
        <v>42</v>
      </c>
      <c r="R10" s="43" t="s">
        <v>36</v>
      </c>
      <c r="S10" s="43" t="s">
        <v>34</v>
      </c>
      <c r="T10" s="43" t="s">
        <v>31</v>
      </c>
      <c r="U10" s="46" t="s">
        <v>33</v>
      </c>
      <c r="V10" s="46" t="s">
        <v>33</v>
      </c>
      <c r="W10" s="43" t="s">
        <v>36</v>
      </c>
      <c r="X10" s="43" t="s">
        <v>36</v>
      </c>
      <c r="Y10" s="43" t="s">
        <v>44</v>
      </c>
      <c r="Z10" s="43" t="s">
        <v>41</v>
      </c>
      <c r="AA10" s="46" t="s">
        <v>33</v>
      </c>
      <c r="AB10" s="43" t="s">
        <v>42</v>
      </c>
      <c r="AC10" s="44" t="s">
        <v>53</v>
      </c>
      <c r="AD10" s="45"/>
    </row>
    <row r="11">
      <c r="A11" s="35">
        <v>9.0</v>
      </c>
      <c r="B11" s="43"/>
      <c r="C11" s="46"/>
      <c r="D11" s="46"/>
      <c r="E11" s="46"/>
      <c r="F11" s="47"/>
      <c r="G11" s="46" t="s">
        <v>33</v>
      </c>
      <c r="H11" s="46" t="s">
        <v>35</v>
      </c>
      <c r="I11" s="46" t="s">
        <v>36</v>
      </c>
      <c r="J11" s="46" t="s">
        <v>45</v>
      </c>
      <c r="K11" s="47" t="s">
        <v>42</v>
      </c>
      <c r="L11" s="49" t="s">
        <v>32</v>
      </c>
      <c r="M11" s="43" t="s">
        <v>36</v>
      </c>
      <c r="N11" s="43" t="s">
        <v>39</v>
      </c>
      <c r="O11" s="43" t="s">
        <v>43</v>
      </c>
      <c r="P11" s="43" t="s">
        <v>37</v>
      </c>
      <c r="Q11" s="43" t="s">
        <v>43</v>
      </c>
      <c r="R11" s="43" t="s">
        <v>38</v>
      </c>
      <c r="S11" s="43" t="s">
        <v>39</v>
      </c>
      <c r="T11" s="43" t="s">
        <v>35</v>
      </c>
      <c r="U11" s="43" t="s">
        <v>37</v>
      </c>
      <c r="V11" s="43" t="s">
        <v>31</v>
      </c>
      <c r="W11" s="43" t="s">
        <v>48</v>
      </c>
      <c r="X11" s="43" t="s">
        <v>35</v>
      </c>
      <c r="Y11" s="43" t="s">
        <v>35</v>
      </c>
      <c r="Z11" s="46" t="s">
        <v>54</v>
      </c>
      <c r="AA11" s="43" t="s">
        <v>35</v>
      </c>
      <c r="AB11" s="43" t="s">
        <v>36</v>
      </c>
      <c r="AC11" s="44" t="s">
        <v>55</v>
      </c>
      <c r="AD11" s="45"/>
    </row>
    <row r="12">
      <c r="A12" s="35">
        <v>10.0</v>
      </c>
      <c r="B12" s="43"/>
      <c r="C12" s="46"/>
      <c r="D12" s="46"/>
      <c r="E12" s="46"/>
      <c r="F12" s="47"/>
      <c r="G12" s="46" t="s">
        <v>35</v>
      </c>
      <c r="H12" s="46" t="s">
        <v>33</v>
      </c>
      <c r="I12" s="46" t="s">
        <v>46</v>
      </c>
      <c r="J12" s="46" t="s">
        <v>32</v>
      </c>
      <c r="K12" s="47" t="s">
        <v>37</v>
      </c>
      <c r="L12" s="48" t="s">
        <v>36</v>
      </c>
      <c r="M12" s="43" t="s">
        <v>35</v>
      </c>
      <c r="N12" s="43" t="s">
        <v>37</v>
      </c>
      <c r="O12" s="43" t="s">
        <v>42</v>
      </c>
      <c r="P12" s="43" t="s">
        <v>35</v>
      </c>
      <c r="Q12" s="43" t="s">
        <v>37</v>
      </c>
      <c r="R12" s="43" t="s">
        <v>47</v>
      </c>
      <c r="S12" s="43" t="s">
        <v>43</v>
      </c>
      <c r="T12" s="43" t="s">
        <v>38</v>
      </c>
      <c r="U12" s="43" t="s">
        <v>35</v>
      </c>
      <c r="V12" s="43" t="s">
        <v>35</v>
      </c>
      <c r="W12" s="43" t="s">
        <v>41</v>
      </c>
      <c r="X12" s="43" t="s">
        <v>39</v>
      </c>
      <c r="Y12" s="43" t="s">
        <v>48</v>
      </c>
      <c r="Z12" s="43" t="s">
        <v>39</v>
      </c>
      <c r="AA12" s="43" t="s">
        <v>42</v>
      </c>
      <c r="AB12" s="43" t="s">
        <v>41</v>
      </c>
      <c r="AC12" s="44" t="s">
        <v>56</v>
      </c>
      <c r="AD12" s="45"/>
    </row>
    <row r="13">
      <c r="A13" s="35">
        <v>11.0</v>
      </c>
      <c r="B13" s="43"/>
      <c r="C13" s="46"/>
      <c r="D13" s="46"/>
      <c r="E13" s="46"/>
      <c r="F13" s="47"/>
      <c r="G13" s="46" t="s">
        <v>34</v>
      </c>
      <c r="H13" s="46" t="s">
        <v>32</v>
      </c>
      <c r="I13" s="46" t="s">
        <v>45</v>
      </c>
      <c r="J13" s="46" t="s">
        <v>42</v>
      </c>
      <c r="K13" s="47" t="s">
        <v>30</v>
      </c>
      <c r="L13" s="48" t="s">
        <v>38</v>
      </c>
      <c r="M13" s="43" t="s">
        <v>43</v>
      </c>
      <c r="N13" s="43" t="s">
        <v>34</v>
      </c>
      <c r="O13" s="43" t="s">
        <v>34</v>
      </c>
      <c r="P13" s="43" t="s">
        <v>31</v>
      </c>
      <c r="Q13" s="43" t="s">
        <v>47</v>
      </c>
      <c r="R13" s="43" t="s">
        <v>35</v>
      </c>
      <c r="S13" s="43" t="s">
        <v>38</v>
      </c>
      <c r="T13" s="43" t="s">
        <v>57</v>
      </c>
      <c r="U13" s="50"/>
      <c r="V13" s="50"/>
      <c r="W13" s="50"/>
      <c r="X13" s="50"/>
      <c r="Y13" s="50"/>
      <c r="Z13" s="50"/>
      <c r="AA13" s="50"/>
      <c r="AB13" s="50"/>
      <c r="AC13" s="51"/>
      <c r="AD13" s="52"/>
    </row>
    <row r="14">
      <c r="A14" s="53">
        <v>12.0</v>
      </c>
      <c r="B14" s="54"/>
      <c r="C14" s="55"/>
      <c r="D14" s="55"/>
      <c r="E14" s="55"/>
      <c r="F14" s="56"/>
      <c r="G14" s="55" t="s">
        <v>45</v>
      </c>
      <c r="H14" s="55" t="s">
        <v>39</v>
      </c>
      <c r="I14" s="55" t="s">
        <v>42</v>
      </c>
      <c r="J14" s="55" t="s">
        <v>30</v>
      </c>
      <c r="K14" s="56" t="s">
        <v>32</v>
      </c>
      <c r="L14" s="57" t="s">
        <v>34</v>
      </c>
      <c r="M14" s="54" t="s">
        <v>34</v>
      </c>
      <c r="N14" s="54" t="s">
        <v>35</v>
      </c>
      <c r="O14" s="54" t="s">
        <v>36</v>
      </c>
      <c r="P14" s="55" t="s">
        <v>33</v>
      </c>
      <c r="Q14" s="54" t="s">
        <v>31</v>
      </c>
      <c r="R14" s="54" t="s">
        <v>37</v>
      </c>
      <c r="S14" s="54" t="s">
        <v>48</v>
      </c>
      <c r="T14" s="54" t="s">
        <v>36</v>
      </c>
      <c r="U14" s="58"/>
      <c r="V14" s="58"/>
      <c r="W14" s="58"/>
      <c r="X14" s="58"/>
      <c r="Y14" s="58"/>
      <c r="Z14" s="58"/>
      <c r="AA14" s="58"/>
      <c r="AB14" s="58"/>
      <c r="AC14" s="59"/>
      <c r="AD14" s="52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</row>
    <row r="16">
      <c r="A16" s="61" t="s">
        <v>58</v>
      </c>
      <c r="B16" s="15"/>
      <c r="C16" s="15"/>
      <c r="D16" s="15"/>
      <c r="E16" s="15"/>
      <c r="F16" s="16"/>
      <c r="G16" s="60"/>
      <c r="H16" s="62"/>
      <c r="I16" s="62"/>
      <c r="J16" s="62"/>
      <c r="K16" s="62"/>
      <c r="L16" s="62"/>
      <c r="M16" s="62"/>
      <c r="N16" s="60"/>
      <c r="O16" s="60"/>
      <c r="P16" s="60"/>
      <c r="Q16" s="60"/>
      <c r="R16" s="60"/>
      <c r="S16" s="63" t="s">
        <v>59</v>
      </c>
      <c r="T16" s="15"/>
      <c r="U16" s="15"/>
      <c r="V16" s="15"/>
      <c r="W16" s="15"/>
      <c r="X16" s="16"/>
      <c r="Y16" s="60"/>
      <c r="Z16" s="60"/>
      <c r="AA16" s="60"/>
      <c r="AB16" s="60"/>
      <c r="AC16" s="60"/>
      <c r="AD16" s="60"/>
    </row>
    <row r="17">
      <c r="A17" s="64" t="s">
        <v>0</v>
      </c>
      <c r="B17" s="65" t="s">
        <v>60</v>
      </c>
      <c r="C17" s="65" t="s">
        <v>61</v>
      </c>
      <c r="D17" s="65" t="s">
        <v>62</v>
      </c>
      <c r="E17" s="65" t="s">
        <v>63</v>
      </c>
      <c r="F17" s="65" t="s">
        <v>64</v>
      </c>
      <c r="G17" s="60"/>
      <c r="H17" s="66"/>
      <c r="I17" s="67"/>
      <c r="J17" s="67"/>
      <c r="K17" s="67"/>
      <c r="L17" s="67"/>
      <c r="M17" s="67"/>
      <c r="N17" s="68"/>
      <c r="O17" s="68"/>
      <c r="P17" s="68"/>
      <c r="Q17" s="68"/>
      <c r="R17" s="68"/>
      <c r="S17" s="64" t="s">
        <v>0</v>
      </c>
      <c r="T17" s="65" t="s">
        <v>60</v>
      </c>
      <c r="U17" s="65" t="s">
        <v>61</v>
      </c>
      <c r="V17" s="65" t="s">
        <v>62</v>
      </c>
      <c r="W17" s="65" t="s">
        <v>63</v>
      </c>
      <c r="X17" s="65" t="s">
        <v>64</v>
      </c>
      <c r="Y17" s="68"/>
      <c r="Z17" s="68"/>
      <c r="AA17" s="68"/>
      <c r="AB17" s="68"/>
      <c r="AC17" s="68"/>
      <c r="AD17" s="68"/>
    </row>
    <row r="18">
      <c r="A18" s="69" t="s">
        <v>42</v>
      </c>
      <c r="B18" s="70">
        <v>23.0</v>
      </c>
      <c r="C18" s="71">
        <f t="shared" ref="C18:C29" si="1">AD37</f>
        <v>6.347826087</v>
      </c>
      <c r="D18" s="72">
        <v>10.0</v>
      </c>
      <c r="E18" s="73">
        <v>1.0</v>
      </c>
      <c r="F18" s="74">
        <f t="shared" ref="F18:F29" si="2">E18/B18</f>
        <v>0.04347826087</v>
      </c>
      <c r="G18" s="60"/>
      <c r="H18" s="75"/>
      <c r="I18" s="76"/>
      <c r="J18" s="77"/>
      <c r="K18" s="76"/>
      <c r="L18" s="76"/>
      <c r="M18" s="78"/>
      <c r="N18" s="68"/>
      <c r="O18" s="68"/>
      <c r="P18" s="68"/>
      <c r="Q18" s="68"/>
      <c r="R18" s="68"/>
      <c r="S18" s="69" t="s">
        <v>48</v>
      </c>
      <c r="T18" s="79">
        <v>7.0</v>
      </c>
      <c r="U18" s="80">
        <v>7.4</v>
      </c>
      <c r="V18" s="79">
        <v>3.0</v>
      </c>
      <c r="W18" s="79">
        <v>0.0</v>
      </c>
      <c r="X18" s="74">
        <f t="shared" ref="X18:X33" si="3">W18/T18</f>
        <v>0</v>
      </c>
      <c r="Y18" s="68"/>
      <c r="Z18" s="68"/>
      <c r="AA18" s="68"/>
      <c r="AB18" s="68"/>
      <c r="AC18" s="68"/>
      <c r="AD18" s="68"/>
    </row>
    <row r="19">
      <c r="A19" s="81" t="s">
        <v>65</v>
      </c>
      <c r="B19" s="70">
        <v>23.0</v>
      </c>
      <c r="C19" s="71">
        <f t="shared" si="1"/>
        <v>6</v>
      </c>
      <c r="D19" s="72">
        <v>10.0</v>
      </c>
      <c r="E19" s="70">
        <v>4.0</v>
      </c>
      <c r="F19" s="74">
        <f t="shared" si="2"/>
        <v>0.1739130435</v>
      </c>
      <c r="G19" s="60"/>
      <c r="H19" s="75"/>
      <c r="I19" s="76"/>
      <c r="J19" s="77"/>
      <c r="K19" s="76"/>
      <c r="L19" s="76"/>
      <c r="M19" s="78"/>
      <c r="N19" s="68"/>
      <c r="O19" s="68"/>
      <c r="P19" s="68"/>
      <c r="Q19" s="68"/>
      <c r="R19" s="68"/>
      <c r="S19" s="69" t="s">
        <v>41</v>
      </c>
      <c r="T19" s="79">
        <v>8.0</v>
      </c>
      <c r="U19" s="80">
        <v>6.0</v>
      </c>
      <c r="V19" s="79">
        <v>3.0</v>
      </c>
      <c r="W19" s="73">
        <v>1.0</v>
      </c>
      <c r="X19" s="74">
        <f t="shared" si="3"/>
        <v>0.125</v>
      </c>
      <c r="Y19" s="68"/>
      <c r="Z19" s="68"/>
      <c r="AA19" s="68"/>
      <c r="AB19" s="68"/>
      <c r="AC19" s="68"/>
      <c r="AD19" s="68"/>
    </row>
    <row r="20">
      <c r="A20" s="69" t="s">
        <v>35</v>
      </c>
      <c r="B20" s="70">
        <v>23.0</v>
      </c>
      <c r="C20" s="71">
        <f t="shared" si="1"/>
        <v>7.217391304</v>
      </c>
      <c r="D20" s="72">
        <v>8.0</v>
      </c>
      <c r="E20" s="73">
        <v>1.0</v>
      </c>
      <c r="F20" s="74">
        <f t="shared" si="2"/>
        <v>0.04347826087</v>
      </c>
      <c r="G20" s="60"/>
      <c r="H20" s="75"/>
      <c r="I20" s="76"/>
      <c r="J20" s="77"/>
      <c r="K20" s="76"/>
      <c r="L20" s="76"/>
      <c r="M20" s="78"/>
      <c r="N20" s="68"/>
      <c r="O20" s="68"/>
      <c r="P20" s="68"/>
      <c r="Q20" s="68"/>
      <c r="R20" s="68"/>
      <c r="S20" s="69" t="s">
        <v>44</v>
      </c>
      <c r="T20" s="79">
        <v>6.0</v>
      </c>
      <c r="U20" s="80">
        <v>5.8</v>
      </c>
      <c r="V20" s="79">
        <v>2.0</v>
      </c>
      <c r="W20" s="79">
        <v>0.0</v>
      </c>
      <c r="X20" s="74">
        <f t="shared" si="3"/>
        <v>0</v>
      </c>
      <c r="Y20" s="68"/>
      <c r="Z20" s="68"/>
      <c r="AA20" s="68"/>
      <c r="AB20" s="68"/>
      <c r="AC20" s="68"/>
      <c r="AD20" s="68"/>
    </row>
    <row r="21">
      <c r="A21" s="81" t="s">
        <v>33</v>
      </c>
      <c r="B21" s="72">
        <v>22.0</v>
      </c>
      <c r="C21" s="71">
        <f t="shared" si="1"/>
        <v>6.045454545</v>
      </c>
      <c r="D21" s="72">
        <v>11.0</v>
      </c>
      <c r="E21" s="72">
        <v>1.0</v>
      </c>
      <c r="F21" s="74">
        <f t="shared" si="2"/>
        <v>0.04545454545</v>
      </c>
      <c r="G21" s="60"/>
      <c r="H21" s="75"/>
      <c r="I21" s="76"/>
      <c r="J21" s="77"/>
      <c r="K21" s="76"/>
      <c r="L21" s="76"/>
      <c r="M21" s="78"/>
      <c r="N21" s="68"/>
      <c r="O21" s="68"/>
      <c r="P21" s="68"/>
      <c r="Q21" s="68"/>
      <c r="R21" s="68"/>
      <c r="S21" s="69" t="s">
        <v>47</v>
      </c>
      <c r="T21" s="79">
        <v>5.0</v>
      </c>
      <c r="U21" s="80">
        <v>7.2</v>
      </c>
      <c r="V21" s="79">
        <v>2.0</v>
      </c>
      <c r="W21" s="79">
        <v>0.0</v>
      </c>
      <c r="X21" s="74">
        <f t="shared" si="3"/>
        <v>0</v>
      </c>
      <c r="Y21" s="68"/>
      <c r="Z21" s="68"/>
      <c r="AA21" s="68"/>
      <c r="AB21" s="68"/>
      <c r="AC21" s="68"/>
      <c r="AD21" s="68"/>
    </row>
    <row r="22">
      <c r="A22" s="69" t="s">
        <v>39</v>
      </c>
      <c r="B22" s="72">
        <v>20.0</v>
      </c>
      <c r="C22" s="71">
        <f t="shared" si="1"/>
        <v>5</v>
      </c>
      <c r="D22" s="70">
        <v>14.0</v>
      </c>
      <c r="E22" s="73">
        <v>2.0</v>
      </c>
      <c r="F22" s="74">
        <f t="shared" si="2"/>
        <v>0.1</v>
      </c>
      <c r="G22" s="60"/>
      <c r="H22" s="75"/>
      <c r="I22" s="76"/>
      <c r="J22" s="77"/>
      <c r="K22" s="76"/>
      <c r="L22" s="76"/>
      <c r="M22" s="78"/>
      <c r="N22" s="68"/>
      <c r="O22" s="68"/>
      <c r="P22" s="68"/>
      <c r="Q22" s="68"/>
      <c r="R22" s="68"/>
      <c r="S22" s="69" t="s">
        <v>49</v>
      </c>
      <c r="T22" s="79">
        <v>5.0</v>
      </c>
      <c r="U22" s="80">
        <v>4.6</v>
      </c>
      <c r="V22" s="79">
        <v>2.0</v>
      </c>
      <c r="W22" s="79">
        <v>0.0</v>
      </c>
      <c r="X22" s="74">
        <f t="shared" si="3"/>
        <v>0</v>
      </c>
      <c r="Y22" s="68"/>
      <c r="Z22" s="68"/>
      <c r="AA22" s="68"/>
      <c r="AB22" s="68"/>
      <c r="AC22" s="68"/>
      <c r="AD22" s="68"/>
    </row>
    <row r="23">
      <c r="A23" s="69" t="s">
        <v>31</v>
      </c>
      <c r="B23" s="72">
        <v>19.0</v>
      </c>
      <c r="C23" s="71">
        <f t="shared" si="1"/>
        <v>5.526315789</v>
      </c>
      <c r="D23" s="72">
        <v>13.0</v>
      </c>
      <c r="E23" s="72">
        <v>1.0</v>
      </c>
      <c r="F23" s="74">
        <f t="shared" si="2"/>
        <v>0.05263157895</v>
      </c>
      <c r="G23" s="60"/>
      <c r="H23" s="75"/>
      <c r="I23" s="76"/>
      <c r="J23" s="77"/>
      <c r="K23" s="76"/>
      <c r="L23" s="76"/>
      <c r="M23" s="78"/>
      <c r="N23" s="68"/>
      <c r="O23" s="68"/>
      <c r="P23" s="68"/>
      <c r="Q23" s="68"/>
      <c r="R23" s="68"/>
      <c r="S23" s="69" t="s">
        <v>43</v>
      </c>
      <c r="T23" s="79">
        <v>9.0</v>
      </c>
      <c r="U23" s="80">
        <v>6.44</v>
      </c>
      <c r="V23" s="79">
        <v>4.0</v>
      </c>
      <c r="W23" s="73">
        <v>0.0</v>
      </c>
      <c r="X23" s="74">
        <f t="shared" si="3"/>
        <v>0</v>
      </c>
      <c r="Y23" s="68"/>
      <c r="Z23" s="68"/>
      <c r="AA23" s="68"/>
      <c r="AB23" s="68"/>
      <c r="AC23" s="68"/>
      <c r="AD23" s="68"/>
    </row>
    <row r="24">
      <c r="A24" s="69" t="s">
        <v>38</v>
      </c>
      <c r="B24" s="72">
        <v>18.0</v>
      </c>
      <c r="C24" s="82">
        <f t="shared" si="1"/>
        <v>4.722222222</v>
      </c>
      <c r="D24" s="72">
        <v>13.0</v>
      </c>
      <c r="E24" s="73">
        <v>3.0</v>
      </c>
      <c r="F24" s="83">
        <f t="shared" si="2"/>
        <v>0.1666666667</v>
      </c>
      <c r="G24" s="60"/>
      <c r="H24" s="75"/>
      <c r="I24" s="76"/>
      <c r="J24" s="77"/>
      <c r="K24" s="76"/>
      <c r="L24" s="76"/>
      <c r="M24" s="78"/>
      <c r="N24" s="68"/>
      <c r="O24" s="68"/>
      <c r="P24" s="68"/>
      <c r="Q24" s="68"/>
      <c r="R24" s="68"/>
      <c r="S24" s="69" t="s">
        <v>50</v>
      </c>
      <c r="T24" s="79">
        <v>3.0</v>
      </c>
      <c r="U24" s="80">
        <v>5.0</v>
      </c>
      <c r="V24" s="79">
        <v>1.0</v>
      </c>
      <c r="W24" s="79">
        <v>0.0</v>
      </c>
      <c r="X24" s="74">
        <f t="shared" si="3"/>
        <v>0</v>
      </c>
      <c r="Y24" s="68"/>
      <c r="Z24" s="68"/>
      <c r="AA24" s="68"/>
      <c r="AB24" s="68"/>
      <c r="AC24" s="68"/>
      <c r="AD24" s="68"/>
    </row>
    <row r="25">
      <c r="A25" s="69" t="s">
        <v>34</v>
      </c>
      <c r="B25" s="72">
        <v>15.0</v>
      </c>
      <c r="C25" s="71">
        <f t="shared" si="1"/>
        <v>6.933333333</v>
      </c>
      <c r="D25" s="72">
        <v>8.0</v>
      </c>
      <c r="E25" s="72">
        <v>1.0</v>
      </c>
      <c r="F25" s="74">
        <f t="shared" si="2"/>
        <v>0.06666666667</v>
      </c>
      <c r="G25" s="60"/>
      <c r="H25" s="75"/>
      <c r="I25" s="76"/>
      <c r="J25" s="77"/>
      <c r="K25" s="76"/>
      <c r="L25" s="76"/>
      <c r="M25" s="78"/>
      <c r="N25" s="68"/>
      <c r="O25" s="68"/>
      <c r="P25" s="68"/>
      <c r="Q25" s="68"/>
      <c r="R25" s="68"/>
      <c r="S25" s="69" t="s">
        <v>40</v>
      </c>
      <c r="T25" s="79">
        <v>2.0</v>
      </c>
      <c r="U25" s="80">
        <v>2.5</v>
      </c>
      <c r="V25" s="79">
        <v>2.0</v>
      </c>
      <c r="W25" s="79">
        <v>1.0</v>
      </c>
      <c r="X25" s="74">
        <f t="shared" si="3"/>
        <v>0.5</v>
      </c>
      <c r="Y25" s="68"/>
      <c r="Z25" s="68"/>
      <c r="AA25" s="68"/>
      <c r="AB25" s="68"/>
      <c r="AC25" s="68"/>
      <c r="AD25" s="68"/>
    </row>
    <row r="26">
      <c r="A26" s="69" t="s">
        <v>46</v>
      </c>
      <c r="B26" s="72">
        <v>6.0</v>
      </c>
      <c r="C26" s="71">
        <f t="shared" si="1"/>
        <v>5.333333333</v>
      </c>
      <c r="D26" s="72">
        <v>4.0</v>
      </c>
      <c r="E26" s="84">
        <v>0.0</v>
      </c>
      <c r="F26" s="74">
        <f t="shared" si="2"/>
        <v>0</v>
      </c>
      <c r="G26" s="60"/>
      <c r="H26" s="75"/>
      <c r="I26" s="76"/>
      <c r="J26" s="77"/>
      <c r="K26" s="76"/>
      <c r="L26" s="76"/>
      <c r="M26" s="78"/>
      <c r="N26" s="68"/>
      <c r="O26" s="68"/>
      <c r="P26" s="68"/>
      <c r="Q26" s="68"/>
      <c r="R26" s="68"/>
      <c r="S26" s="69" t="s">
        <v>57</v>
      </c>
      <c r="T26" s="79">
        <v>1.0</v>
      </c>
      <c r="U26" s="80">
        <v>11.0</v>
      </c>
      <c r="V26" s="79">
        <v>0.0</v>
      </c>
      <c r="W26" s="79">
        <v>0.0</v>
      </c>
      <c r="X26" s="74">
        <f t="shared" si="3"/>
        <v>0</v>
      </c>
      <c r="Y26" s="68"/>
      <c r="Z26" s="68"/>
      <c r="AA26" s="68"/>
      <c r="AB26" s="68"/>
      <c r="AC26" s="68"/>
      <c r="AD26" s="68"/>
    </row>
    <row r="27">
      <c r="A27" s="81" t="s">
        <v>45</v>
      </c>
      <c r="B27" s="72">
        <v>4.0</v>
      </c>
      <c r="C27" s="71">
        <f t="shared" si="1"/>
        <v>8.75</v>
      </c>
      <c r="D27" s="72">
        <v>1.0</v>
      </c>
      <c r="E27" s="85">
        <v>0.0</v>
      </c>
      <c r="F27" s="74">
        <f t="shared" si="2"/>
        <v>0</v>
      </c>
      <c r="G27" s="60"/>
      <c r="H27" s="75"/>
      <c r="I27" s="76"/>
      <c r="J27" s="77"/>
      <c r="K27" s="76"/>
      <c r="L27" s="76"/>
      <c r="M27" s="78"/>
      <c r="N27" s="68"/>
      <c r="O27" s="68"/>
      <c r="P27" s="68"/>
      <c r="Q27" s="68"/>
      <c r="R27" s="68"/>
      <c r="S27" s="81" t="s">
        <v>54</v>
      </c>
      <c r="T27" s="79">
        <v>1.0</v>
      </c>
      <c r="U27" s="80">
        <v>9.0</v>
      </c>
      <c r="V27" s="79">
        <v>0.0</v>
      </c>
      <c r="W27" s="79">
        <v>0.0</v>
      </c>
      <c r="X27" s="74">
        <f t="shared" si="3"/>
        <v>0</v>
      </c>
      <c r="Y27" s="68"/>
      <c r="Z27" s="68"/>
      <c r="AA27" s="68"/>
      <c r="AB27" s="68"/>
      <c r="AC27" s="68"/>
      <c r="AD27" s="68"/>
    </row>
    <row r="28">
      <c r="A28" s="69" t="s">
        <v>30</v>
      </c>
      <c r="B28" s="72">
        <v>13.0</v>
      </c>
      <c r="C28" s="71">
        <f t="shared" si="1"/>
        <v>5.538461538</v>
      </c>
      <c r="D28" s="72">
        <v>9.0</v>
      </c>
      <c r="E28" s="72">
        <v>2.0</v>
      </c>
      <c r="F28" s="74">
        <f t="shared" si="2"/>
        <v>0.1538461538</v>
      </c>
      <c r="G28" s="60"/>
      <c r="H28" s="75"/>
      <c r="I28" s="76"/>
      <c r="J28" s="77"/>
      <c r="K28" s="76"/>
      <c r="L28" s="76"/>
      <c r="M28" s="78"/>
      <c r="N28" s="68"/>
      <c r="O28" s="68"/>
      <c r="P28" s="68"/>
      <c r="Q28" s="68"/>
      <c r="R28" s="68"/>
      <c r="S28" s="69" t="s">
        <v>51</v>
      </c>
      <c r="T28" s="79">
        <v>1.0</v>
      </c>
      <c r="U28" s="80">
        <v>6.0</v>
      </c>
      <c r="V28" s="79">
        <v>0.0</v>
      </c>
      <c r="W28" s="79">
        <v>0.0</v>
      </c>
      <c r="X28" s="74">
        <f t="shared" si="3"/>
        <v>0</v>
      </c>
      <c r="Y28" s="68"/>
      <c r="Z28" s="68"/>
      <c r="AA28" s="68"/>
      <c r="AB28" s="68"/>
      <c r="AC28" s="68"/>
      <c r="AD28" s="68"/>
    </row>
    <row r="29">
      <c r="A29" s="81" t="s">
        <v>32</v>
      </c>
      <c r="B29" s="72">
        <v>8.0</v>
      </c>
      <c r="C29" s="71">
        <f t="shared" si="1"/>
        <v>6.375</v>
      </c>
      <c r="D29" s="72">
        <v>4.0</v>
      </c>
      <c r="E29" s="72">
        <v>2.0</v>
      </c>
      <c r="F29" s="74">
        <f t="shared" si="2"/>
        <v>0.25</v>
      </c>
      <c r="G29" s="60"/>
      <c r="H29" s="75"/>
      <c r="I29" s="76"/>
      <c r="J29" s="77"/>
      <c r="K29" s="76"/>
      <c r="L29" s="76"/>
      <c r="M29" s="78"/>
      <c r="N29" s="68"/>
      <c r="O29" s="68"/>
      <c r="P29" s="68"/>
      <c r="Q29" s="68"/>
      <c r="R29" s="68"/>
      <c r="S29" s="69" t="s">
        <v>52</v>
      </c>
      <c r="T29" s="79">
        <v>1.0</v>
      </c>
      <c r="U29" s="80">
        <v>7.0</v>
      </c>
      <c r="V29" s="79">
        <v>0.0</v>
      </c>
      <c r="W29" s="79">
        <v>0.0</v>
      </c>
      <c r="X29" s="74">
        <f t="shared" si="3"/>
        <v>0</v>
      </c>
      <c r="Y29" s="68"/>
      <c r="Z29" s="68"/>
      <c r="AA29" s="68"/>
      <c r="AB29" s="68"/>
      <c r="AC29" s="68"/>
      <c r="AD29" s="68"/>
    </row>
    <row r="30">
      <c r="A30" s="86" t="s">
        <v>66</v>
      </c>
      <c r="B30" s="87">
        <f t="shared" ref="B30:D30" si="4">AVERAGE(B18:B29)</f>
        <v>16.16666667</v>
      </c>
      <c r="C30" s="88">
        <f t="shared" si="4"/>
        <v>6.149111513</v>
      </c>
      <c r="D30" s="88">
        <f t="shared" si="4"/>
        <v>8.75</v>
      </c>
      <c r="E30" s="89">
        <f>SUM(E18:E29)</f>
        <v>18</v>
      </c>
      <c r="F30" s="90">
        <f>AVERAGE(F18:F29)</f>
        <v>0.09134459807</v>
      </c>
      <c r="G30" s="60"/>
      <c r="H30" s="75"/>
      <c r="I30" s="76"/>
      <c r="J30" s="77"/>
      <c r="K30" s="76"/>
      <c r="L30" s="76"/>
      <c r="M30" s="78"/>
      <c r="N30" s="60"/>
      <c r="O30" s="60"/>
      <c r="P30" s="60"/>
      <c r="Q30" s="60"/>
      <c r="R30" s="60"/>
      <c r="S30" s="69" t="s">
        <v>53</v>
      </c>
      <c r="T30" s="79">
        <v>1.0</v>
      </c>
      <c r="U30" s="80">
        <v>8.0</v>
      </c>
      <c r="V30" s="79">
        <v>0.0</v>
      </c>
      <c r="W30" s="79">
        <v>0.0</v>
      </c>
      <c r="X30" s="74">
        <f t="shared" si="3"/>
        <v>0</v>
      </c>
      <c r="Y30" s="60"/>
      <c r="Z30" s="60"/>
      <c r="AA30" s="60"/>
      <c r="AB30" s="60"/>
      <c r="AC30" s="60"/>
      <c r="AD30" s="60"/>
    </row>
    <row r="31">
      <c r="A31" s="68"/>
      <c r="B31" s="68"/>
      <c r="C31" s="68"/>
      <c r="D31" s="68"/>
      <c r="E31" s="68"/>
      <c r="F31" s="68"/>
      <c r="G31" s="60"/>
      <c r="H31" s="75"/>
      <c r="I31" s="76"/>
      <c r="J31" s="77"/>
      <c r="K31" s="76"/>
      <c r="L31" s="76"/>
      <c r="M31" s="78"/>
      <c r="N31" s="60"/>
      <c r="O31" s="60"/>
      <c r="P31" s="60"/>
      <c r="Q31" s="60"/>
      <c r="R31" s="60"/>
      <c r="S31" s="69" t="s">
        <v>55</v>
      </c>
      <c r="T31" s="79">
        <v>1.0</v>
      </c>
      <c r="U31" s="80">
        <v>9.0</v>
      </c>
      <c r="V31" s="79">
        <v>0.0</v>
      </c>
      <c r="W31" s="79">
        <v>0.0</v>
      </c>
      <c r="X31" s="74">
        <f t="shared" si="3"/>
        <v>0</v>
      </c>
      <c r="Y31" s="60"/>
      <c r="Z31" s="60"/>
      <c r="AA31" s="60"/>
      <c r="AB31" s="60"/>
      <c r="AC31" s="60"/>
      <c r="AD31" s="60"/>
    </row>
    <row r="32">
      <c r="A32" s="68"/>
      <c r="B32" s="68"/>
      <c r="C32" s="68"/>
      <c r="D32" s="68"/>
      <c r="E32" s="68"/>
      <c r="F32" s="68"/>
      <c r="G32" s="60"/>
      <c r="H32" s="75"/>
      <c r="I32" s="76"/>
      <c r="J32" s="77"/>
      <c r="K32" s="76"/>
      <c r="L32" s="76"/>
      <c r="M32" s="78"/>
      <c r="N32" s="60"/>
      <c r="O32" s="60"/>
      <c r="P32" s="60"/>
      <c r="Q32" s="60"/>
      <c r="R32" s="60"/>
      <c r="S32" s="69" t="s">
        <v>56</v>
      </c>
      <c r="T32" s="79">
        <v>1.0</v>
      </c>
      <c r="U32" s="80">
        <v>10.0</v>
      </c>
      <c r="V32" s="79">
        <v>0.0</v>
      </c>
      <c r="W32" s="79">
        <v>0.0</v>
      </c>
      <c r="X32" s="74">
        <f t="shared" si="3"/>
        <v>0</v>
      </c>
      <c r="Y32" s="60"/>
      <c r="Z32" s="60"/>
      <c r="AA32" s="60"/>
      <c r="AB32" s="60"/>
      <c r="AC32" s="60"/>
      <c r="AD32" s="60"/>
    </row>
    <row r="33">
      <c r="A33" s="68"/>
      <c r="B33" s="68"/>
      <c r="C33" s="68"/>
      <c r="D33" s="68"/>
      <c r="E33" s="68"/>
      <c r="F33" s="68"/>
      <c r="G33" s="60"/>
      <c r="H33" s="75"/>
      <c r="I33" s="76"/>
      <c r="J33" s="91"/>
      <c r="K33" s="76"/>
      <c r="L33" s="76"/>
      <c r="M33" s="78"/>
      <c r="N33" s="60"/>
      <c r="O33" s="60"/>
      <c r="P33" s="60"/>
      <c r="Q33" s="60"/>
      <c r="R33" s="60"/>
      <c r="S33" s="69" t="s">
        <v>37</v>
      </c>
      <c r="T33" s="73">
        <v>11.0</v>
      </c>
      <c r="U33" s="92">
        <v>6.82</v>
      </c>
      <c r="V33" s="73">
        <v>5.0</v>
      </c>
      <c r="W33" s="73">
        <v>3.0</v>
      </c>
      <c r="X33" s="93">
        <f t="shared" si="3"/>
        <v>0.2727272727</v>
      </c>
      <c r="Y33" s="60"/>
      <c r="Z33" s="60"/>
      <c r="AA33" s="60"/>
      <c r="AB33" s="60"/>
      <c r="AC33" s="60"/>
      <c r="AD33" s="60"/>
    </row>
    <row r="34">
      <c r="A34" s="68"/>
      <c r="B34" s="68"/>
      <c r="C34" s="68"/>
      <c r="D34" s="68"/>
      <c r="E34" s="68"/>
      <c r="F34" s="68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</row>
    <row r="35">
      <c r="A35" s="68"/>
      <c r="B35" s="68"/>
      <c r="C35" s="68"/>
      <c r="D35" s="68"/>
      <c r="E35" s="68"/>
      <c r="F35" s="68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</row>
    <row r="36">
      <c r="A36" s="94" t="s">
        <v>67</v>
      </c>
      <c r="B36" s="95">
        <v>2030.0</v>
      </c>
      <c r="C36" s="95">
        <v>2029.0</v>
      </c>
      <c r="D36" s="95">
        <v>2028.0</v>
      </c>
      <c r="E36" s="95">
        <v>2027.0</v>
      </c>
      <c r="F36" s="95">
        <v>2026.0</v>
      </c>
      <c r="G36" s="95">
        <v>2025.0</v>
      </c>
      <c r="H36" s="95">
        <v>2024.0</v>
      </c>
      <c r="I36" s="95">
        <v>2023.0</v>
      </c>
      <c r="J36" s="95">
        <v>2022.0</v>
      </c>
      <c r="K36" s="95">
        <v>2021.0</v>
      </c>
      <c r="L36" s="94">
        <v>2020.0</v>
      </c>
      <c r="M36" s="94">
        <v>2019.0</v>
      </c>
      <c r="N36" s="94">
        <v>2018.0</v>
      </c>
      <c r="O36" s="94">
        <v>2017.0</v>
      </c>
      <c r="P36" s="94">
        <v>2016.0</v>
      </c>
      <c r="Q36" s="94">
        <v>2015.0</v>
      </c>
      <c r="R36" s="94">
        <v>2014.0</v>
      </c>
      <c r="S36" s="94">
        <v>2013.0</v>
      </c>
      <c r="T36" s="94">
        <v>2012.0</v>
      </c>
      <c r="U36" s="94">
        <v>2011.0</v>
      </c>
      <c r="V36" s="94">
        <v>2010.0</v>
      </c>
      <c r="W36" s="94">
        <v>2009.0</v>
      </c>
      <c r="X36" s="94">
        <v>2008.0</v>
      </c>
      <c r="Y36" s="94">
        <v>2007.0</v>
      </c>
      <c r="Z36" s="94">
        <v>2006.0</v>
      </c>
      <c r="AA36" s="94">
        <v>2005.0</v>
      </c>
      <c r="AB36" s="94">
        <v>2004.0</v>
      </c>
      <c r="AC36" s="94">
        <v>2003.0</v>
      </c>
      <c r="AD36" s="96" t="s">
        <v>68</v>
      </c>
    </row>
    <row r="37">
      <c r="A37" s="97" t="s">
        <v>42</v>
      </c>
      <c r="B37" s="98"/>
      <c r="C37" s="99"/>
      <c r="D37" s="99"/>
      <c r="E37" s="99"/>
      <c r="F37" s="100"/>
      <c r="G37" s="101">
        <v>4.0</v>
      </c>
      <c r="H37" s="101">
        <v>8.0</v>
      </c>
      <c r="I37" s="101">
        <v>12.0</v>
      </c>
      <c r="J37" s="101">
        <v>11.0</v>
      </c>
      <c r="K37" s="98">
        <v>9.0</v>
      </c>
      <c r="L37" s="98">
        <v>7.0</v>
      </c>
      <c r="M37" s="98">
        <v>7.0</v>
      </c>
      <c r="N37" s="98">
        <v>7.0</v>
      </c>
      <c r="O37" s="98">
        <v>10.0</v>
      </c>
      <c r="P37" s="98">
        <v>8.0</v>
      </c>
      <c r="Q37" s="98">
        <v>8.0</v>
      </c>
      <c r="R37" s="98">
        <v>2.0</v>
      </c>
      <c r="S37" s="98">
        <v>6.0</v>
      </c>
      <c r="T37" s="98">
        <v>6.0</v>
      </c>
      <c r="U37" s="98">
        <v>4.0</v>
      </c>
      <c r="V37" s="98">
        <v>5.0</v>
      </c>
      <c r="W37" s="98">
        <v>3.0</v>
      </c>
      <c r="X37" s="98">
        <v>2.0</v>
      </c>
      <c r="Y37" s="98">
        <v>1.0</v>
      </c>
      <c r="Z37" s="98">
        <v>6.0</v>
      </c>
      <c r="AA37" s="98">
        <v>10.0</v>
      </c>
      <c r="AB37" s="98">
        <v>8.0</v>
      </c>
      <c r="AC37" s="98">
        <v>2.0</v>
      </c>
      <c r="AD37" s="102">
        <f t="shared" ref="AD37:AD48" si="5">AVERAGE(G37:AC37)</f>
        <v>6.347826087</v>
      </c>
    </row>
    <row r="38">
      <c r="A38" s="97" t="s">
        <v>36</v>
      </c>
      <c r="B38" s="98"/>
      <c r="C38" s="99"/>
      <c r="D38" s="99"/>
      <c r="E38" s="99"/>
      <c r="F38" s="100"/>
      <c r="G38" s="101">
        <v>8.0</v>
      </c>
      <c r="H38" s="101">
        <v>7.0</v>
      </c>
      <c r="I38" s="101">
        <v>9.0</v>
      </c>
      <c r="J38" s="101">
        <v>6.0</v>
      </c>
      <c r="K38" s="98">
        <v>6.0</v>
      </c>
      <c r="L38" s="98">
        <v>9.0</v>
      </c>
      <c r="M38" s="98">
        <v>9.0</v>
      </c>
      <c r="N38" s="98">
        <v>1.0</v>
      </c>
      <c r="O38" s="98">
        <v>12.0</v>
      </c>
      <c r="P38" s="98">
        <v>6.0</v>
      </c>
      <c r="Q38" s="98">
        <v>4.0</v>
      </c>
      <c r="R38" s="98">
        <v>8.0</v>
      </c>
      <c r="S38" s="98">
        <v>3.0</v>
      </c>
      <c r="T38" s="98">
        <v>10.0</v>
      </c>
      <c r="U38" s="98">
        <v>6.0</v>
      </c>
      <c r="V38" s="98">
        <v>4.0</v>
      </c>
      <c r="W38" s="98">
        <v>4.0</v>
      </c>
      <c r="X38" s="98">
        <v>7.0</v>
      </c>
      <c r="Y38" s="98">
        <v>7.0</v>
      </c>
      <c r="Z38" s="98">
        <v>1.0</v>
      </c>
      <c r="AA38" s="98">
        <v>1.0</v>
      </c>
      <c r="AB38" s="98">
        <v>9.0</v>
      </c>
      <c r="AC38" s="98">
        <v>1.0</v>
      </c>
      <c r="AD38" s="102">
        <f t="shared" si="5"/>
        <v>6</v>
      </c>
    </row>
    <row r="39">
      <c r="A39" s="97" t="s">
        <v>35</v>
      </c>
      <c r="B39" s="98"/>
      <c r="C39" s="99"/>
      <c r="D39" s="99"/>
      <c r="E39" s="99"/>
      <c r="F39" s="100"/>
      <c r="G39" s="101">
        <v>10.0</v>
      </c>
      <c r="H39" s="101">
        <v>9.0</v>
      </c>
      <c r="I39" s="101">
        <v>5.0</v>
      </c>
      <c r="J39" s="101">
        <v>3.0</v>
      </c>
      <c r="K39" s="98">
        <v>7.0</v>
      </c>
      <c r="L39" s="98">
        <v>1.0</v>
      </c>
      <c r="M39" s="98">
        <v>10.0</v>
      </c>
      <c r="N39" s="98">
        <v>12.0</v>
      </c>
      <c r="O39" s="98">
        <v>3.0</v>
      </c>
      <c r="P39" s="98">
        <v>10.0</v>
      </c>
      <c r="Q39" s="98">
        <v>7.0</v>
      </c>
      <c r="R39" s="98">
        <v>11.0</v>
      </c>
      <c r="S39" s="98">
        <v>4.0</v>
      </c>
      <c r="T39" s="98">
        <v>9.0</v>
      </c>
      <c r="U39" s="98">
        <v>10.0</v>
      </c>
      <c r="V39" s="98">
        <v>10.0</v>
      </c>
      <c r="W39" s="98">
        <v>6.0</v>
      </c>
      <c r="X39" s="98">
        <v>9.0</v>
      </c>
      <c r="Y39" s="98">
        <v>9.0</v>
      </c>
      <c r="Z39" s="98">
        <v>7.0</v>
      </c>
      <c r="AA39" s="98">
        <v>9.0</v>
      </c>
      <c r="AB39" s="98">
        <v>2.0</v>
      </c>
      <c r="AC39" s="103">
        <v>3.0</v>
      </c>
      <c r="AD39" s="102">
        <f t="shared" si="5"/>
        <v>7.217391304</v>
      </c>
    </row>
    <row r="40">
      <c r="A40" s="97" t="s">
        <v>33</v>
      </c>
      <c r="B40" s="98"/>
      <c r="C40" s="99"/>
      <c r="D40" s="99"/>
      <c r="E40" s="99"/>
      <c r="F40" s="100"/>
      <c r="G40" s="101">
        <v>9.0</v>
      </c>
      <c r="H40" s="101">
        <v>10.0</v>
      </c>
      <c r="I40" s="101">
        <v>6.0</v>
      </c>
      <c r="J40" s="101">
        <v>1.0</v>
      </c>
      <c r="K40" s="98">
        <v>4.0</v>
      </c>
      <c r="L40" s="98">
        <v>2.0</v>
      </c>
      <c r="M40" s="98">
        <v>8.0</v>
      </c>
      <c r="N40" s="98">
        <v>3.0</v>
      </c>
      <c r="O40" s="98">
        <v>8.0</v>
      </c>
      <c r="P40" s="98">
        <v>12.0</v>
      </c>
      <c r="Q40" s="98">
        <v>6.0</v>
      </c>
      <c r="R40" s="98">
        <v>7.0</v>
      </c>
      <c r="S40" s="98">
        <v>7.0</v>
      </c>
      <c r="T40" s="103">
        <v>4.0</v>
      </c>
      <c r="U40" s="103">
        <v>8.0</v>
      </c>
      <c r="V40" s="98">
        <v>8.0</v>
      </c>
      <c r="W40" s="98">
        <v>7.0</v>
      </c>
      <c r="X40" s="98">
        <v>4.0</v>
      </c>
      <c r="Y40" s="98">
        <v>4.0</v>
      </c>
      <c r="Z40" s="98">
        <v>3.0</v>
      </c>
      <c r="AA40" s="98">
        <v>8.0</v>
      </c>
      <c r="AB40" s="104">
        <v>4.0</v>
      </c>
      <c r="AC40" s="105"/>
      <c r="AD40" s="102">
        <f t="shared" si="5"/>
        <v>6.045454545</v>
      </c>
    </row>
    <row r="41">
      <c r="A41" s="97" t="s">
        <v>39</v>
      </c>
      <c r="B41" s="98"/>
      <c r="C41" s="99"/>
      <c r="D41" s="99"/>
      <c r="E41" s="99"/>
      <c r="F41" s="100"/>
      <c r="G41" s="101">
        <v>5.0</v>
      </c>
      <c r="H41" s="101">
        <v>12.0</v>
      </c>
      <c r="I41" s="101">
        <v>8.0</v>
      </c>
      <c r="J41" s="101">
        <v>5.0</v>
      </c>
      <c r="K41" s="98">
        <v>2.0</v>
      </c>
      <c r="L41" s="98">
        <v>3.0</v>
      </c>
      <c r="M41" s="98">
        <v>3.0</v>
      </c>
      <c r="N41" s="98">
        <v>9.0</v>
      </c>
      <c r="O41" s="98">
        <v>2.0</v>
      </c>
      <c r="P41" s="98">
        <v>4.0</v>
      </c>
      <c r="Q41" s="98">
        <v>3.0</v>
      </c>
      <c r="R41" s="98">
        <v>1.0</v>
      </c>
      <c r="S41" s="104">
        <v>9.0</v>
      </c>
      <c r="T41" s="105"/>
      <c r="U41" s="105"/>
      <c r="V41" s="106">
        <v>3.0</v>
      </c>
      <c r="W41" s="98">
        <v>2.0</v>
      </c>
      <c r="X41" s="98">
        <v>10.0</v>
      </c>
      <c r="Y41" s="98">
        <v>6.0</v>
      </c>
      <c r="Z41" s="103">
        <v>10.0</v>
      </c>
      <c r="AA41" s="103">
        <v>2.0</v>
      </c>
      <c r="AB41" s="107">
        <v>1.0</v>
      </c>
      <c r="AC41" s="105"/>
      <c r="AD41" s="102">
        <f t="shared" si="5"/>
        <v>5</v>
      </c>
    </row>
    <row r="42">
      <c r="A42" s="97" t="s">
        <v>31</v>
      </c>
      <c r="B42" s="98"/>
      <c r="C42" s="99"/>
      <c r="D42" s="99"/>
      <c r="E42" s="99"/>
      <c r="F42" s="100"/>
      <c r="G42" s="101">
        <v>6.0</v>
      </c>
      <c r="H42" s="101">
        <v>1.0</v>
      </c>
      <c r="I42" s="101">
        <v>3.0</v>
      </c>
      <c r="J42" s="101">
        <v>7.0</v>
      </c>
      <c r="K42" s="98">
        <v>5.0</v>
      </c>
      <c r="L42" s="98">
        <v>5.0</v>
      </c>
      <c r="M42" s="98">
        <v>2.0</v>
      </c>
      <c r="N42" s="98">
        <v>2.0</v>
      </c>
      <c r="O42" s="98">
        <v>6.0</v>
      </c>
      <c r="P42" s="98">
        <v>11.0</v>
      </c>
      <c r="Q42" s="98">
        <v>12.0</v>
      </c>
      <c r="R42" s="98">
        <v>4.0</v>
      </c>
      <c r="S42" s="98">
        <v>2.0</v>
      </c>
      <c r="T42" s="108">
        <v>8.0</v>
      </c>
      <c r="U42" s="108">
        <v>7.0</v>
      </c>
      <c r="V42" s="98">
        <v>9.0</v>
      </c>
      <c r="W42" s="98">
        <v>5.0</v>
      </c>
      <c r="X42" s="98">
        <v>5.0</v>
      </c>
      <c r="Y42" s="107">
        <v>5.0</v>
      </c>
      <c r="Z42" s="105"/>
      <c r="AA42" s="105"/>
      <c r="AB42" s="105"/>
      <c r="AC42" s="105"/>
      <c r="AD42" s="102">
        <f t="shared" si="5"/>
        <v>5.526315789</v>
      </c>
    </row>
    <row r="43">
      <c r="A43" s="97" t="s">
        <v>38</v>
      </c>
      <c r="B43" s="98"/>
      <c r="C43" s="99"/>
      <c r="D43" s="99"/>
      <c r="E43" s="99"/>
      <c r="F43" s="100"/>
      <c r="G43" s="101">
        <v>3.0</v>
      </c>
      <c r="H43" s="101">
        <v>2.0</v>
      </c>
      <c r="I43" s="101">
        <v>4.0</v>
      </c>
      <c r="J43" s="101">
        <v>2.0</v>
      </c>
      <c r="K43" s="98">
        <v>6.0</v>
      </c>
      <c r="L43" s="98">
        <v>11.0</v>
      </c>
      <c r="M43" s="98">
        <v>4.0</v>
      </c>
      <c r="N43" s="98">
        <v>4.0</v>
      </c>
      <c r="O43" s="98">
        <v>5.0</v>
      </c>
      <c r="P43" s="98">
        <v>1.0</v>
      </c>
      <c r="Q43" s="98">
        <v>2.0</v>
      </c>
      <c r="R43" s="98">
        <v>9.0</v>
      </c>
      <c r="S43" s="98">
        <v>11.0</v>
      </c>
      <c r="T43" s="98">
        <v>10.0</v>
      </c>
      <c r="U43" s="98">
        <v>1.0</v>
      </c>
      <c r="V43" s="103">
        <v>2.0</v>
      </c>
      <c r="W43" s="103">
        <v>1.0</v>
      </c>
      <c r="X43" s="107">
        <v>7.0</v>
      </c>
      <c r="Y43" s="105"/>
      <c r="Z43" s="105"/>
      <c r="AA43" s="105"/>
      <c r="AB43" s="105"/>
      <c r="AC43" s="105"/>
      <c r="AD43" s="102">
        <f t="shared" si="5"/>
        <v>4.722222222</v>
      </c>
    </row>
    <row r="44">
      <c r="A44" s="97" t="s">
        <v>34</v>
      </c>
      <c r="B44" s="98"/>
      <c r="C44" s="99"/>
      <c r="D44" s="99"/>
      <c r="E44" s="99"/>
      <c r="F44" s="100"/>
      <c r="G44" s="101">
        <v>11.0</v>
      </c>
      <c r="H44" s="101">
        <v>5.0</v>
      </c>
      <c r="I44" s="101">
        <v>2.0</v>
      </c>
      <c r="J44" s="101">
        <v>8.0</v>
      </c>
      <c r="K44" s="98">
        <v>1.0</v>
      </c>
      <c r="L44" s="98">
        <v>12.0</v>
      </c>
      <c r="M44" s="103">
        <v>12.0</v>
      </c>
      <c r="N44" s="103">
        <v>11.0</v>
      </c>
      <c r="O44" s="103">
        <v>11.0</v>
      </c>
      <c r="P44" s="103">
        <v>5.0</v>
      </c>
      <c r="Q44" s="103">
        <v>5.0</v>
      </c>
      <c r="R44" s="103">
        <v>6.0</v>
      </c>
      <c r="S44" s="103">
        <v>8.0</v>
      </c>
      <c r="T44" s="103">
        <v>5.0</v>
      </c>
      <c r="U44" s="107">
        <v>2.0</v>
      </c>
      <c r="V44" s="105"/>
      <c r="W44" s="105"/>
      <c r="X44" s="105"/>
      <c r="Y44" s="105"/>
      <c r="Z44" s="105"/>
      <c r="AA44" s="105"/>
      <c r="AB44" s="105"/>
      <c r="AC44" s="105"/>
      <c r="AD44" s="102">
        <f t="shared" si="5"/>
        <v>6.933333333</v>
      </c>
    </row>
    <row r="45">
      <c r="A45" s="97" t="s">
        <v>46</v>
      </c>
      <c r="B45" s="98"/>
      <c r="C45" s="99"/>
      <c r="D45" s="99"/>
      <c r="E45" s="99"/>
      <c r="F45" s="100"/>
      <c r="G45" s="101">
        <v>7.0</v>
      </c>
      <c r="H45" s="101">
        <v>4.0</v>
      </c>
      <c r="I45" s="101">
        <v>10.0</v>
      </c>
      <c r="J45" s="101">
        <v>4.0</v>
      </c>
      <c r="K45" s="98">
        <v>3.0</v>
      </c>
      <c r="L45" s="104">
        <v>4.0</v>
      </c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2">
        <f t="shared" si="5"/>
        <v>5.333333333</v>
      </c>
    </row>
    <row r="46">
      <c r="A46" s="109" t="s">
        <v>45</v>
      </c>
      <c r="B46" s="98"/>
      <c r="C46" s="99"/>
      <c r="D46" s="99"/>
      <c r="E46" s="99"/>
      <c r="F46" s="100"/>
      <c r="G46" s="101">
        <v>12.0</v>
      </c>
      <c r="H46" s="101">
        <v>3.0</v>
      </c>
      <c r="I46" s="101">
        <v>11.0</v>
      </c>
      <c r="J46" s="101">
        <v>9.0</v>
      </c>
      <c r="K46" s="110"/>
      <c r="L46" s="110"/>
      <c r="M46" s="111"/>
      <c r="N46" s="111"/>
      <c r="O46" s="111"/>
      <c r="P46" s="111"/>
      <c r="Q46" s="111"/>
      <c r="R46" s="111"/>
      <c r="S46" s="112"/>
      <c r="T46" s="112"/>
      <c r="U46" s="113"/>
      <c r="V46" s="105"/>
      <c r="W46" s="105"/>
      <c r="X46" s="105"/>
      <c r="Y46" s="105"/>
      <c r="Z46" s="105"/>
      <c r="AA46" s="105"/>
      <c r="AB46" s="105"/>
      <c r="AC46" s="105"/>
      <c r="AD46" s="102">
        <f t="shared" si="5"/>
        <v>8.75</v>
      </c>
    </row>
    <row r="47">
      <c r="A47" s="97" t="s">
        <v>30</v>
      </c>
      <c r="B47" s="98"/>
      <c r="C47" s="99"/>
      <c r="D47" s="99"/>
      <c r="E47" s="99"/>
      <c r="F47" s="100"/>
      <c r="G47" s="101">
        <v>1.0</v>
      </c>
      <c r="H47" s="101">
        <v>6.0</v>
      </c>
      <c r="I47" s="101">
        <v>7.0</v>
      </c>
      <c r="J47" s="101">
        <v>12.0</v>
      </c>
      <c r="K47" s="98">
        <v>11.0</v>
      </c>
      <c r="L47" s="98">
        <v>8.0</v>
      </c>
      <c r="M47" s="98">
        <v>5.0</v>
      </c>
      <c r="N47" s="98">
        <v>6.0</v>
      </c>
      <c r="O47" s="103">
        <v>4.0</v>
      </c>
      <c r="P47" s="103">
        <v>2.0</v>
      </c>
      <c r="Q47" s="103">
        <v>1.0</v>
      </c>
      <c r="R47" s="107">
        <v>5.0</v>
      </c>
      <c r="S47" s="105"/>
      <c r="T47" s="105"/>
      <c r="U47" s="105"/>
      <c r="V47" s="105"/>
      <c r="W47" s="105"/>
      <c r="X47" s="105"/>
      <c r="Y47" s="105"/>
      <c r="Z47" s="105"/>
      <c r="AA47" s="114">
        <v>4.0</v>
      </c>
      <c r="AB47" s="105"/>
      <c r="AC47" s="105"/>
      <c r="AD47" s="102">
        <f t="shared" si="5"/>
        <v>5.538461538</v>
      </c>
    </row>
    <row r="48">
      <c r="A48" s="115" t="s">
        <v>32</v>
      </c>
      <c r="B48" s="98"/>
      <c r="C48" s="99"/>
      <c r="D48" s="99"/>
      <c r="E48" s="99"/>
      <c r="F48" s="116"/>
      <c r="G48" s="101">
        <v>2.0</v>
      </c>
      <c r="H48" s="101">
        <v>11.0</v>
      </c>
      <c r="I48" s="101">
        <v>1.0</v>
      </c>
      <c r="J48" s="101">
        <v>10.0</v>
      </c>
      <c r="K48" s="117">
        <v>12.0</v>
      </c>
      <c r="L48" s="98">
        <v>9.0</v>
      </c>
      <c r="M48" s="98">
        <v>1.0</v>
      </c>
      <c r="N48" s="104">
        <v>5.0</v>
      </c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2">
        <f t="shared" si="5"/>
        <v>6.375</v>
      </c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60"/>
      <c r="Z49" s="60"/>
      <c r="AA49" s="60"/>
      <c r="AB49" s="60"/>
      <c r="AC49" s="60"/>
      <c r="AD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>
      <c r="A54" s="12"/>
      <c r="B54" s="12"/>
      <c r="C54" s="12"/>
      <c r="D54" s="119" t="s">
        <v>69</v>
      </c>
      <c r="E54" s="120" t="s">
        <v>70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>
      <c r="A55" s="12"/>
      <c r="B55" s="12"/>
      <c r="C55" s="12"/>
      <c r="D55" s="121">
        <v>2021.0</v>
      </c>
      <c r="E55" s="122" t="s">
        <v>34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>
      <c r="A56" s="12"/>
      <c r="B56" s="12"/>
      <c r="C56" s="12"/>
      <c r="D56" s="121">
        <v>2022.0</v>
      </c>
      <c r="E56" s="123" t="s">
        <v>33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>
      <c r="A57" s="12"/>
      <c r="B57" s="12"/>
      <c r="C57" s="12"/>
      <c r="D57" s="121">
        <v>2023.0</v>
      </c>
      <c r="E57" s="123" t="s">
        <v>32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>
      <c r="A58" s="12"/>
      <c r="B58" s="12"/>
      <c r="C58" s="12"/>
      <c r="D58" s="121">
        <v>2024.0</v>
      </c>
      <c r="E58" s="123" t="s">
        <v>31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>
      <c r="A59" s="12"/>
      <c r="B59" s="12"/>
      <c r="C59" s="12"/>
      <c r="D59" s="121">
        <v>2025.0</v>
      </c>
      <c r="E59" s="123" t="s">
        <v>30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</sheetData>
  <mergeCells count="5">
    <mergeCell ref="A1:A2"/>
    <mergeCell ref="B1:K1"/>
    <mergeCell ref="L1:AC1"/>
    <mergeCell ref="A16:F16"/>
    <mergeCell ref="S16:X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7.13"/>
    <col customWidth="1" min="3" max="3" width="10.25"/>
    <col customWidth="1" min="4" max="4" width="8.75"/>
    <col customWidth="1" min="5" max="5" width="11.75"/>
    <col customWidth="1" min="6" max="6" width="9.5"/>
    <col customWidth="1" min="7" max="7" width="7.88"/>
    <col customWidth="1" min="8" max="8" width="7.75"/>
    <col customWidth="1" min="9" max="9" width="11.75"/>
    <col customWidth="1" min="10" max="10" width="6.38"/>
    <col customWidth="1" min="11" max="11" width="12.13"/>
  </cols>
  <sheetData>
    <row r="1">
      <c r="A1" s="52"/>
      <c r="B1" s="124" t="s">
        <v>71</v>
      </c>
      <c r="C1" s="124" t="s">
        <v>72</v>
      </c>
      <c r="D1" s="124" t="s">
        <v>73</v>
      </c>
      <c r="E1" s="124" t="s">
        <v>74</v>
      </c>
      <c r="F1" s="125" t="s">
        <v>75</v>
      </c>
      <c r="G1" s="124" t="s">
        <v>76</v>
      </c>
      <c r="H1" s="124" t="s">
        <v>77</v>
      </c>
      <c r="I1" s="124" t="s">
        <v>78</v>
      </c>
      <c r="J1" s="124" t="s">
        <v>79</v>
      </c>
      <c r="K1" s="126" t="s">
        <v>80</v>
      </c>
      <c r="L1" s="50"/>
      <c r="M1" s="50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50"/>
      <c r="B2" s="127">
        <v>12.0</v>
      </c>
      <c r="C2" s="128">
        <v>50.0</v>
      </c>
      <c r="D2" s="128">
        <f>C2*B2</f>
        <v>600</v>
      </c>
      <c r="E2" s="128">
        <v>10.0</v>
      </c>
      <c r="F2" s="129">
        <v>80.0</v>
      </c>
      <c r="G2" s="128">
        <v>25.0</v>
      </c>
      <c r="H2" s="128">
        <v>50.0</v>
      </c>
      <c r="I2" s="128">
        <v>100.0</v>
      </c>
      <c r="J2" s="129">
        <v>205.0</v>
      </c>
      <c r="K2" s="50"/>
      <c r="L2" s="50"/>
      <c r="M2" s="50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50"/>
      <c r="B3" s="50"/>
      <c r="C3" s="50"/>
      <c r="D3" s="128">
        <f>SUM(E3:I3)</f>
        <v>395</v>
      </c>
      <c r="E3" s="128">
        <f>E2*14</f>
        <v>140</v>
      </c>
      <c r="F3" s="128">
        <f t="shared" ref="F3:J3" si="1">F2*1</f>
        <v>80</v>
      </c>
      <c r="G3" s="128">
        <f t="shared" si="1"/>
        <v>25</v>
      </c>
      <c r="H3" s="128">
        <f t="shared" si="1"/>
        <v>50</v>
      </c>
      <c r="I3" s="128">
        <f t="shared" si="1"/>
        <v>100</v>
      </c>
      <c r="J3" s="128">
        <f t="shared" si="1"/>
        <v>205</v>
      </c>
      <c r="K3" s="130">
        <f>sum(E3:J3)</f>
        <v>600</v>
      </c>
      <c r="L3" s="50"/>
      <c r="M3" s="50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50"/>
      <c r="B4" s="50"/>
      <c r="C4" s="50"/>
      <c r="D4" s="50"/>
      <c r="E4" s="131" t="s">
        <v>81</v>
      </c>
      <c r="F4" s="131" t="s">
        <v>82</v>
      </c>
      <c r="G4" s="131" t="s">
        <v>83</v>
      </c>
      <c r="H4" s="131" t="s">
        <v>83</v>
      </c>
      <c r="I4" s="131" t="s">
        <v>83</v>
      </c>
      <c r="J4" s="131" t="s">
        <v>83</v>
      </c>
      <c r="K4" s="50"/>
      <c r="L4" s="50"/>
      <c r="M4" s="50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50"/>
      <c r="B5" s="50"/>
      <c r="C5" s="50"/>
      <c r="D5" s="50"/>
      <c r="E5" s="132" t="s">
        <v>84</v>
      </c>
      <c r="F5" s="132" t="s">
        <v>84</v>
      </c>
      <c r="G5" s="50"/>
      <c r="H5" s="50"/>
      <c r="I5" s="50"/>
      <c r="J5" s="50"/>
      <c r="K5" s="50"/>
      <c r="L5" s="50"/>
      <c r="M5" s="50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50"/>
      <c r="B6" s="124" t="s">
        <v>85</v>
      </c>
      <c r="C6" s="124" t="s">
        <v>74</v>
      </c>
      <c r="D6" s="125" t="s">
        <v>75</v>
      </c>
      <c r="E6" s="124" t="s">
        <v>76</v>
      </c>
      <c r="F6" s="124" t="s">
        <v>77</v>
      </c>
      <c r="G6" s="124" t="s">
        <v>78</v>
      </c>
      <c r="H6" s="124" t="s">
        <v>79</v>
      </c>
      <c r="I6" s="124" t="s">
        <v>86</v>
      </c>
      <c r="J6" s="50"/>
      <c r="K6" s="50"/>
      <c r="L6" s="50"/>
      <c r="M6" s="50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3" t="s">
        <v>87</v>
      </c>
      <c r="B7" s="131" t="s">
        <v>88</v>
      </c>
      <c r="C7" s="128">
        <v>10.0</v>
      </c>
      <c r="D7" s="134"/>
      <c r="E7" s="134"/>
      <c r="F7" s="134"/>
      <c r="G7" s="134"/>
      <c r="H7" s="134"/>
      <c r="I7" s="128">
        <f t="shared" ref="I7:I23" si="2">sum(C7:H7)</f>
        <v>10</v>
      </c>
      <c r="J7" s="50"/>
      <c r="K7" s="50"/>
      <c r="L7" s="50"/>
      <c r="M7" s="50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3" t="s">
        <v>87</v>
      </c>
      <c r="B8" s="131" t="s">
        <v>89</v>
      </c>
      <c r="C8" s="128">
        <v>10.0</v>
      </c>
      <c r="D8" s="134"/>
      <c r="E8" s="134"/>
      <c r="F8" s="134"/>
      <c r="G8" s="134"/>
      <c r="H8" s="134"/>
      <c r="I8" s="128">
        <f t="shared" si="2"/>
        <v>10</v>
      </c>
      <c r="J8" s="50"/>
      <c r="K8" s="50"/>
      <c r="L8" s="50"/>
      <c r="M8" s="50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3" t="s">
        <v>87</v>
      </c>
      <c r="B9" s="131" t="s">
        <v>90</v>
      </c>
      <c r="C9" s="128">
        <v>10.0</v>
      </c>
      <c r="D9" s="134"/>
      <c r="E9" s="134"/>
      <c r="F9" s="134"/>
      <c r="G9" s="134"/>
      <c r="H9" s="134"/>
      <c r="I9" s="128">
        <f t="shared" si="2"/>
        <v>10</v>
      </c>
      <c r="J9" s="50"/>
      <c r="K9" s="50"/>
      <c r="L9" s="50"/>
      <c r="M9" s="50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3" t="s">
        <v>87</v>
      </c>
      <c r="B10" s="131" t="s">
        <v>91</v>
      </c>
      <c r="C10" s="128">
        <v>10.0</v>
      </c>
      <c r="D10" s="134"/>
      <c r="E10" s="134"/>
      <c r="F10" s="134"/>
      <c r="G10" s="134"/>
      <c r="H10" s="134"/>
      <c r="I10" s="128">
        <f t="shared" si="2"/>
        <v>10</v>
      </c>
      <c r="J10" s="50"/>
      <c r="K10" s="50"/>
      <c r="L10" s="50"/>
      <c r="M10" s="50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3" t="s">
        <v>87</v>
      </c>
      <c r="B11" s="131" t="s">
        <v>92</v>
      </c>
      <c r="C11" s="128">
        <v>10.0</v>
      </c>
      <c r="D11" s="134"/>
      <c r="E11" s="134"/>
      <c r="F11" s="134"/>
      <c r="G11" s="134"/>
      <c r="H11" s="134"/>
      <c r="I11" s="128">
        <f t="shared" si="2"/>
        <v>10</v>
      </c>
      <c r="J11" s="50"/>
      <c r="K11" s="50"/>
      <c r="L11" s="50"/>
      <c r="M11" s="50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33" t="s">
        <v>87</v>
      </c>
      <c r="B12" s="131" t="s">
        <v>93</v>
      </c>
      <c r="C12" s="128">
        <v>10.0</v>
      </c>
      <c r="D12" s="134"/>
      <c r="E12" s="134"/>
      <c r="F12" s="134"/>
      <c r="G12" s="134"/>
      <c r="H12" s="134"/>
      <c r="I12" s="128">
        <f t="shared" si="2"/>
        <v>10</v>
      </c>
      <c r="J12" s="50"/>
      <c r="K12" s="50"/>
      <c r="L12" s="50"/>
      <c r="M12" s="50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33" t="s">
        <v>87</v>
      </c>
      <c r="B13" s="131" t="s">
        <v>94</v>
      </c>
      <c r="C13" s="128">
        <v>10.0</v>
      </c>
      <c r="D13" s="134"/>
      <c r="E13" s="134"/>
      <c r="F13" s="134"/>
      <c r="G13" s="134"/>
      <c r="H13" s="134"/>
      <c r="I13" s="128">
        <f t="shared" si="2"/>
        <v>10</v>
      </c>
      <c r="J13" s="50"/>
      <c r="K13" s="50"/>
      <c r="L13" s="50"/>
      <c r="M13" s="50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33" t="s">
        <v>87</v>
      </c>
      <c r="B14" s="131" t="s">
        <v>95</v>
      </c>
      <c r="C14" s="128">
        <v>10.0</v>
      </c>
      <c r="D14" s="134"/>
      <c r="E14" s="134"/>
      <c r="F14" s="134"/>
      <c r="G14" s="134"/>
      <c r="H14" s="134"/>
      <c r="I14" s="128">
        <f t="shared" si="2"/>
        <v>10</v>
      </c>
      <c r="J14" s="50"/>
      <c r="K14" s="50"/>
      <c r="L14" s="50"/>
      <c r="M14" s="50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33" t="s">
        <v>87</v>
      </c>
      <c r="B15" s="131" t="s">
        <v>96</v>
      </c>
      <c r="C15" s="128">
        <v>10.0</v>
      </c>
      <c r="D15" s="134"/>
      <c r="E15" s="134"/>
      <c r="F15" s="134"/>
      <c r="G15" s="134"/>
      <c r="H15" s="134"/>
      <c r="I15" s="128">
        <f t="shared" si="2"/>
        <v>10</v>
      </c>
      <c r="J15" s="50"/>
      <c r="K15" s="50"/>
      <c r="L15" s="50"/>
      <c r="M15" s="50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33" t="s">
        <v>87</v>
      </c>
      <c r="B16" s="131" t="s">
        <v>97</v>
      </c>
      <c r="C16" s="128">
        <v>10.0</v>
      </c>
      <c r="D16" s="134"/>
      <c r="E16" s="134"/>
      <c r="F16" s="134"/>
      <c r="G16" s="134"/>
      <c r="H16" s="134"/>
      <c r="I16" s="128">
        <f t="shared" si="2"/>
        <v>10</v>
      </c>
      <c r="J16" s="50"/>
      <c r="K16" s="50"/>
      <c r="L16" s="50"/>
      <c r="M16" s="50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33" t="s">
        <v>87</v>
      </c>
      <c r="B17" s="131" t="s">
        <v>98</v>
      </c>
      <c r="C17" s="128">
        <v>10.0</v>
      </c>
      <c r="D17" s="134"/>
      <c r="E17" s="134"/>
      <c r="F17" s="134"/>
      <c r="G17" s="134"/>
      <c r="H17" s="134"/>
      <c r="I17" s="128">
        <f t="shared" si="2"/>
        <v>10</v>
      </c>
      <c r="J17" s="50"/>
      <c r="K17" s="50"/>
      <c r="L17" s="50"/>
      <c r="M17" s="50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33" t="s">
        <v>87</v>
      </c>
      <c r="B18" s="131" t="s">
        <v>99</v>
      </c>
      <c r="C18" s="128">
        <v>10.0</v>
      </c>
      <c r="D18" s="134"/>
      <c r="E18" s="134"/>
      <c r="F18" s="134"/>
      <c r="G18" s="134"/>
      <c r="H18" s="134"/>
      <c r="I18" s="128">
        <f t="shared" si="2"/>
        <v>10</v>
      </c>
      <c r="J18" s="50"/>
      <c r="K18" s="50"/>
      <c r="L18" s="50"/>
      <c r="M18" s="50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33" t="s">
        <v>87</v>
      </c>
      <c r="B19" s="131" t="s">
        <v>100</v>
      </c>
      <c r="C19" s="128">
        <v>10.0</v>
      </c>
      <c r="D19" s="134"/>
      <c r="E19" s="134"/>
      <c r="F19" s="134"/>
      <c r="G19" s="134"/>
      <c r="H19" s="134"/>
      <c r="I19" s="128">
        <f t="shared" si="2"/>
        <v>10</v>
      </c>
      <c r="J19" s="50"/>
      <c r="K19" s="50"/>
      <c r="L19" s="50"/>
      <c r="M19" s="50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33" t="s">
        <v>87</v>
      </c>
      <c r="B20" s="131" t="s">
        <v>101</v>
      </c>
      <c r="C20" s="128">
        <v>10.0</v>
      </c>
      <c r="D20" s="134"/>
      <c r="E20" s="134"/>
      <c r="F20" s="134"/>
      <c r="G20" s="134"/>
      <c r="H20" s="134"/>
      <c r="I20" s="128">
        <f t="shared" si="2"/>
        <v>10</v>
      </c>
      <c r="J20" s="50"/>
      <c r="K20" s="50"/>
      <c r="L20" s="50"/>
      <c r="M20" s="50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33" t="s">
        <v>102</v>
      </c>
      <c r="B21" s="131" t="s">
        <v>103</v>
      </c>
      <c r="C21" s="128">
        <v>0.0</v>
      </c>
      <c r="D21" s="134"/>
      <c r="E21" s="134"/>
      <c r="F21" s="134"/>
      <c r="G21" s="134"/>
      <c r="H21" s="134"/>
      <c r="I21" s="128">
        <f t="shared" si="2"/>
        <v>0</v>
      </c>
      <c r="J21" s="50"/>
      <c r="K21" s="50"/>
      <c r="L21" s="50"/>
      <c r="M21" s="50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33" t="s">
        <v>102</v>
      </c>
      <c r="B22" s="131" t="s">
        <v>104</v>
      </c>
      <c r="C22" s="128">
        <v>0.0</v>
      </c>
      <c r="D22" s="134"/>
      <c r="E22" s="134"/>
      <c r="F22" s="134"/>
      <c r="G22" s="134"/>
      <c r="H22" s="134"/>
      <c r="I22" s="128">
        <f t="shared" si="2"/>
        <v>0</v>
      </c>
      <c r="J22" s="50"/>
      <c r="K22" s="50"/>
      <c r="L22" s="50"/>
      <c r="M22" s="50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33" t="s">
        <v>102</v>
      </c>
      <c r="B23" s="131" t="s">
        <v>105</v>
      </c>
      <c r="C23" s="128">
        <v>0.0</v>
      </c>
      <c r="D23" s="129">
        <v>80.0</v>
      </c>
      <c r="E23" s="128">
        <v>25.0</v>
      </c>
      <c r="F23" s="128">
        <v>50.0</v>
      </c>
      <c r="G23" s="128">
        <v>100.0</v>
      </c>
      <c r="H23" s="129">
        <v>205.0</v>
      </c>
      <c r="I23" s="128">
        <f t="shared" si="2"/>
        <v>460</v>
      </c>
      <c r="J23" s="50"/>
      <c r="K23" s="50"/>
      <c r="L23" s="50"/>
      <c r="M23" s="50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50"/>
      <c r="B24" s="50"/>
      <c r="C24" s="50"/>
      <c r="D24" s="50"/>
      <c r="E24" s="50"/>
      <c r="F24" s="50"/>
      <c r="G24" s="135" t="s">
        <v>66</v>
      </c>
      <c r="H24" s="136"/>
      <c r="I24" s="137">
        <f>SUM(I7:I23)</f>
        <v>600</v>
      </c>
      <c r="J24" s="50"/>
      <c r="K24" s="50"/>
      <c r="L24" s="50"/>
      <c r="M24" s="50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38" t="s">
        <v>106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38" t="s">
        <v>107</v>
      </c>
      <c r="B26" s="50"/>
      <c r="C26" s="50"/>
      <c r="D26" s="50"/>
      <c r="E26" s="50"/>
      <c r="F26" s="52"/>
      <c r="G26" s="52"/>
      <c r="H26" s="52"/>
      <c r="I26" s="52"/>
      <c r="J26" s="52"/>
      <c r="K26" s="52"/>
      <c r="L26" s="52"/>
      <c r="M26" s="5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1">
    <mergeCell ref="G24:H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7.13"/>
    <col customWidth="1" min="3" max="3" width="8.88"/>
    <col customWidth="1" min="4" max="5" width="8.75"/>
    <col customWidth="1" min="6" max="6" width="7.25"/>
    <col customWidth="1" min="7" max="7" width="6.13"/>
    <col customWidth="1" min="8" max="8" width="8.25"/>
    <col customWidth="1" min="9" max="9" width="7.88"/>
    <col customWidth="1" min="10" max="10" width="8.38"/>
    <col customWidth="1" min="11" max="11" width="9.25"/>
    <col customWidth="1" min="12" max="12" width="10.13"/>
    <col customWidth="1" min="13" max="13" width="11.75"/>
    <col customWidth="1" min="14" max="14" width="7.38"/>
    <col customWidth="1" min="15" max="15" width="7.0"/>
    <col customWidth="1" min="16" max="16" width="7.13"/>
    <col customWidth="1" min="17" max="17" width="7.38"/>
    <col customWidth="1" min="18" max="19" width="6.5"/>
    <col customWidth="1" min="20" max="20" width="9.0"/>
  </cols>
  <sheetData>
    <row r="1">
      <c r="A1" s="139" t="s">
        <v>0</v>
      </c>
      <c r="B1" s="140" t="s">
        <v>108</v>
      </c>
      <c r="C1" s="140" t="s">
        <v>108</v>
      </c>
      <c r="D1" s="141" t="s">
        <v>75</v>
      </c>
      <c r="E1" s="140" t="s">
        <v>76</v>
      </c>
      <c r="F1" s="140" t="s">
        <v>77</v>
      </c>
      <c r="G1" s="140" t="s">
        <v>78</v>
      </c>
      <c r="H1" s="140" t="s">
        <v>109</v>
      </c>
      <c r="I1" s="140" t="s">
        <v>110</v>
      </c>
      <c r="J1" s="140" t="s">
        <v>111</v>
      </c>
      <c r="K1" s="141" t="s">
        <v>112</v>
      </c>
      <c r="L1" s="140" t="s">
        <v>113</v>
      </c>
      <c r="M1" s="50"/>
      <c r="N1" s="35" t="s">
        <v>67</v>
      </c>
      <c r="O1" s="35" t="s">
        <v>114</v>
      </c>
      <c r="P1" s="35" t="s">
        <v>115</v>
      </c>
      <c r="Q1" s="52"/>
      <c r="R1" s="50"/>
      <c r="S1" s="52"/>
      <c r="T1" s="52"/>
      <c r="U1" s="52"/>
    </row>
    <row r="2">
      <c r="A2" s="142" t="s">
        <v>46</v>
      </c>
      <c r="B2" s="143">
        <v>2.0</v>
      </c>
      <c r="C2" s="130">
        <f t="shared" ref="C2:C13" si="1">10*B2</f>
        <v>20</v>
      </c>
      <c r="D2" s="130">
        <v>0.0</v>
      </c>
      <c r="E2" s="130">
        <v>0.0</v>
      </c>
      <c r="F2" s="130">
        <v>0.0</v>
      </c>
      <c r="G2" s="144">
        <v>0.0</v>
      </c>
      <c r="H2" s="130">
        <v>0.0</v>
      </c>
      <c r="I2" s="145">
        <f t="shared" ref="I2:I13" si="2">sum(C2:H2)</f>
        <v>20</v>
      </c>
      <c r="J2" s="130">
        <f t="shared" ref="J2:J13" si="3">O2</f>
        <v>50</v>
      </c>
      <c r="K2" s="130">
        <f t="shared" ref="K2:K13" si="4">J2-50</f>
        <v>0</v>
      </c>
      <c r="L2" s="130">
        <f t="shared" ref="L2:L13" si="5">I2-J2</f>
        <v>-30</v>
      </c>
      <c r="M2" s="50"/>
      <c r="N2" s="146" t="s">
        <v>46</v>
      </c>
      <c r="O2" s="147">
        <v>50.0</v>
      </c>
      <c r="P2" s="147">
        <f t="shared" ref="P2:P13" si="6">O2-50</f>
        <v>0</v>
      </c>
      <c r="Q2" s="52"/>
      <c r="R2" s="50"/>
      <c r="S2" s="52"/>
      <c r="T2" s="52"/>
      <c r="U2" s="52"/>
    </row>
    <row r="3">
      <c r="A3" s="142" t="s">
        <v>38</v>
      </c>
      <c r="B3" s="143">
        <v>2.0</v>
      </c>
      <c r="C3" s="130">
        <f t="shared" si="1"/>
        <v>20</v>
      </c>
      <c r="D3" s="130">
        <v>0.0</v>
      </c>
      <c r="E3" s="130">
        <v>0.0</v>
      </c>
      <c r="F3" s="130">
        <v>50.0</v>
      </c>
      <c r="G3" s="130">
        <v>0.0</v>
      </c>
      <c r="H3" s="130">
        <v>0.0</v>
      </c>
      <c r="I3" s="145">
        <f t="shared" si="2"/>
        <v>70</v>
      </c>
      <c r="J3" s="130">
        <f t="shared" si="3"/>
        <v>50</v>
      </c>
      <c r="K3" s="130">
        <f t="shared" si="4"/>
        <v>0</v>
      </c>
      <c r="L3" s="130">
        <f t="shared" si="5"/>
        <v>20</v>
      </c>
      <c r="M3" s="134"/>
      <c r="N3" s="146" t="s">
        <v>38</v>
      </c>
      <c r="O3" s="147">
        <v>50.0</v>
      </c>
      <c r="P3" s="147">
        <f t="shared" si="6"/>
        <v>0</v>
      </c>
      <c r="Q3" s="52"/>
      <c r="R3" s="50"/>
      <c r="S3" s="52"/>
      <c r="T3" s="52"/>
      <c r="U3" s="52"/>
    </row>
    <row r="4">
      <c r="A4" s="142" t="s">
        <v>36</v>
      </c>
      <c r="B4" s="143">
        <v>0.0</v>
      </c>
      <c r="C4" s="130">
        <f t="shared" si="1"/>
        <v>0</v>
      </c>
      <c r="D4" s="130">
        <v>0.0</v>
      </c>
      <c r="E4" s="130">
        <v>0.0</v>
      </c>
      <c r="F4" s="130">
        <v>0.0</v>
      </c>
      <c r="G4" s="130">
        <v>0.0</v>
      </c>
      <c r="H4" s="130">
        <v>0.0</v>
      </c>
      <c r="I4" s="145">
        <f t="shared" si="2"/>
        <v>0</v>
      </c>
      <c r="J4" s="130">
        <f t="shared" si="3"/>
        <v>50</v>
      </c>
      <c r="K4" s="130">
        <f t="shared" si="4"/>
        <v>0</v>
      </c>
      <c r="L4" s="130">
        <f t="shared" si="5"/>
        <v>-50</v>
      </c>
      <c r="M4" s="50"/>
      <c r="N4" s="146" t="s">
        <v>36</v>
      </c>
      <c r="O4" s="147">
        <v>50.0</v>
      </c>
      <c r="P4" s="147">
        <f t="shared" si="6"/>
        <v>0</v>
      </c>
      <c r="Q4" s="52"/>
      <c r="R4" s="50"/>
      <c r="S4" s="52"/>
      <c r="T4" s="52"/>
      <c r="U4" s="52"/>
    </row>
    <row r="5">
      <c r="A5" s="148" t="s">
        <v>45</v>
      </c>
      <c r="B5" s="143">
        <v>0.0</v>
      </c>
      <c r="C5" s="130">
        <f t="shared" si="1"/>
        <v>0</v>
      </c>
      <c r="D5" s="130">
        <v>0.0</v>
      </c>
      <c r="E5" s="130">
        <v>0.0</v>
      </c>
      <c r="F5" s="130">
        <v>0.0</v>
      </c>
      <c r="G5" s="130">
        <v>0.0</v>
      </c>
      <c r="H5" s="130">
        <v>0.0</v>
      </c>
      <c r="I5" s="145">
        <f t="shared" si="2"/>
        <v>0</v>
      </c>
      <c r="J5" s="130">
        <f t="shared" si="3"/>
        <v>50</v>
      </c>
      <c r="K5" s="130">
        <f t="shared" si="4"/>
        <v>0</v>
      </c>
      <c r="L5" s="130">
        <f t="shared" si="5"/>
        <v>-50</v>
      </c>
      <c r="M5" s="50"/>
      <c r="N5" s="149" t="s">
        <v>45</v>
      </c>
      <c r="O5" s="147">
        <v>50.0</v>
      </c>
      <c r="P5" s="147">
        <f t="shared" si="6"/>
        <v>0</v>
      </c>
      <c r="Q5" s="52"/>
      <c r="R5" s="50"/>
      <c r="S5" s="52"/>
      <c r="T5" s="52"/>
      <c r="U5" s="52"/>
    </row>
    <row r="6">
      <c r="A6" s="148" t="s">
        <v>116</v>
      </c>
      <c r="B6" s="143">
        <v>1.0</v>
      </c>
      <c r="C6" s="130">
        <f t="shared" si="1"/>
        <v>10</v>
      </c>
      <c r="D6" s="130">
        <v>0.0</v>
      </c>
      <c r="E6" s="130">
        <v>0.0</v>
      </c>
      <c r="F6" s="130">
        <v>0.0</v>
      </c>
      <c r="G6" s="130">
        <v>0.0</v>
      </c>
      <c r="H6" s="130">
        <v>0.0</v>
      </c>
      <c r="I6" s="145">
        <f t="shared" si="2"/>
        <v>10</v>
      </c>
      <c r="J6" s="130">
        <f t="shared" si="3"/>
        <v>10</v>
      </c>
      <c r="K6" s="130">
        <f t="shared" si="4"/>
        <v>-40</v>
      </c>
      <c r="L6" s="130">
        <f t="shared" si="5"/>
        <v>0</v>
      </c>
      <c r="M6" s="50"/>
      <c r="N6" s="149" t="s">
        <v>116</v>
      </c>
      <c r="O6" s="147">
        <v>10.0</v>
      </c>
      <c r="P6" s="150">
        <f t="shared" si="6"/>
        <v>-40</v>
      </c>
      <c r="Q6" s="151" t="s">
        <v>117</v>
      </c>
      <c r="R6" s="50"/>
      <c r="S6" s="52"/>
      <c r="T6" s="52"/>
      <c r="U6" s="52"/>
    </row>
    <row r="7">
      <c r="A7" s="142" t="s">
        <v>31</v>
      </c>
      <c r="B7" s="143">
        <v>2.0</v>
      </c>
      <c r="C7" s="130">
        <f t="shared" si="1"/>
        <v>20</v>
      </c>
      <c r="D7" s="130">
        <v>0.0</v>
      </c>
      <c r="E7" s="130">
        <v>0.0</v>
      </c>
      <c r="F7" s="130">
        <v>0.0</v>
      </c>
      <c r="G7" s="130">
        <v>0.0</v>
      </c>
      <c r="H7" s="130">
        <v>0.0</v>
      </c>
      <c r="I7" s="145">
        <f t="shared" si="2"/>
        <v>20</v>
      </c>
      <c r="J7" s="130">
        <f t="shared" si="3"/>
        <v>50</v>
      </c>
      <c r="K7" s="130">
        <f t="shared" si="4"/>
        <v>0</v>
      </c>
      <c r="L7" s="130">
        <f t="shared" si="5"/>
        <v>-30</v>
      </c>
      <c r="M7" s="50"/>
      <c r="N7" s="146" t="s">
        <v>31</v>
      </c>
      <c r="O7" s="147">
        <v>50.0</v>
      </c>
      <c r="P7" s="147">
        <f t="shared" si="6"/>
        <v>0</v>
      </c>
      <c r="Q7" s="52"/>
      <c r="R7" s="50"/>
      <c r="S7" s="52"/>
      <c r="T7" s="52"/>
      <c r="U7" s="52"/>
    </row>
    <row r="8">
      <c r="A8" s="142" t="s">
        <v>35</v>
      </c>
      <c r="B8" s="143">
        <v>0.0</v>
      </c>
      <c r="C8" s="130">
        <f t="shared" si="1"/>
        <v>0</v>
      </c>
      <c r="D8" s="130">
        <v>0.0</v>
      </c>
      <c r="E8" s="130">
        <v>0.0</v>
      </c>
      <c r="F8" s="130">
        <v>0.0</v>
      </c>
      <c r="G8" s="130">
        <v>0.0</v>
      </c>
      <c r="H8" s="130">
        <v>0.0</v>
      </c>
      <c r="I8" s="145">
        <f t="shared" si="2"/>
        <v>0</v>
      </c>
      <c r="J8" s="130">
        <f t="shared" si="3"/>
        <v>50</v>
      </c>
      <c r="K8" s="130">
        <f t="shared" si="4"/>
        <v>0</v>
      </c>
      <c r="L8" s="130">
        <f t="shared" si="5"/>
        <v>-50</v>
      </c>
      <c r="M8" s="50"/>
      <c r="N8" s="146" t="s">
        <v>35</v>
      </c>
      <c r="O8" s="147">
        <v>50.0</v>
      </c>
      <c r="P8" s="147">
        <f t="shared" si="6"/>
        <v>0</v>
      </c>
      <c r="Q8" s="52"/>
      <c r="R8" s="50"/>
      <c r="S8" s="52"/>
      <c r="T8" s="52"/>
      <c r="U8" s="52"/>
    </row>
    <row r="9">
      <c r="A9" s="142" t="s">
        <v>34</v>
      </c>
      <c r="B9" s="143">
        <v>0.0</v>
      </c>
      <c r="C9" s="130">
        <f t="shared" si="1"/>
        <v>0</v>
      </c>
      <c r="D9" s="130">
        <v>0.0</v>
      </c>
      <c r="E9" s="130">
        <v>0.0</v>
      </c>
      <c r="F9" s="130">
        <v>0.0</v>
      </c>
      <c r="G9" s="130">
        <v>0.0</v>
      </c>
      <c r="H9" s="130">
        <v>0.0</v>
      </c>
      <c r="I9" s="145">
        <f t="shared" si="2"/>
        <v>0</v>
      </c>
      <c r="J9" s="130">
        <f t="shared" si="3"/>
        <v>50</v>
      </c>
      <c r="K9" s="130">
        <f t="shared" si="4"/>
        <v>0</v>
      </c>
      <c r="L9" s="130">
        <f t="shared" si="5"/>
        <v>-50</v>
      </c>
      <c r="M9" s="50"/>
      <c r="N9" s="146" t="s">
        <v>34</v>
      </c>
      <c r="O9" s="147">
        <v>50.0</v>
      </c>
      <c r="P9" s="147">
        <f t="shared" si="6"/>
        <v>0</v>
      </c>
      <c r="Q9" s="52"/>
      <c r="R9" s="50"/>
      <c r="S9" s="52"/>
      <c r="T9" s="52"/>
      <c r="U9" s="52"/>
    </row>
    <row r="10">
      <c r="A10" s="148" t="s">
        <v>32</v>
      </c>
      <c r="B10" s="143">
        <v>0.0</v>
      </c>
      <c r="C10" s="130">
        <f t="shared" si="1"/>
        <v>0</v>
      </c>
      <c r="D10" s="130">
        <v>0.0</v>
      </c>
      <c r="E10" s="130">
        <v>0.0</v>
      </c>
      <c r="F10" s="130">
        <v>0.0</v>
      </c>
      <c r="G10" s="130">
        <v>100.0</v>
      </c>
      <c r="H10" s="130">
        <v>0.0</v>
      </c>
      <c r="I10" s="145">
        <f t="shared" si="2"/>
        <v>100</v>
      </c>
      <c r="J10" s="130">
        <f t="shared" si="3"/>
        <v>50</v>
      </c>
      <c r="K10" s="130">
        <f t="shared" si="4"/>
        <v>0</v>
      </c>
      <c r="L10" s="130">
        <f t="shared" si="5"/>
        <v>50</v>
      </c>
      <c r="M10" s="50"/>
      <c r="N10" s="149" t="s">
        <v>32</v>
      </c>
      <c r="O10" s="147">
        <v>50.0</v>
      </c>
      <c r="P10" s="147">
        <f t="shared" si="6"/>
        <v>0</v>
      </c>
      <c r="Q10" s="52"/>
      <c r="R10" s="50"/>
      <c r="S10" s="52"/>
      <c r="T10" s="52"/>
      <c r="U10" s="52"/>
    </row>
    <row r="11">
      <c r="A11" s="142" t="s">
        <v>42</v>
      </c>
      <c r="B11" s="143">
        <v>3.0</v>
      </c>
      <c r="C11" s="130">
        <f t="shared" si="1"/>
        <v>30</v>
      </c>
      <c r="D11" s="130">
        <v>0.0</v>
      </c>
      <c r="E11" s="130">
        <v>25.0</v>
      </c>
      <c r="F11" s="130">
        <v>0.0</v>
      </c>
      <c r="G11" s="130">
        <v>0.0</v>
      </c>
      <c r="H11" s="130">
        <v>0.0</v>
      </c>
      <c r="I11" s="145">
        <f t="shared" si="2"/>
        <v>55</v>
      </c>
      <c r="J11" s="130">
        <f t="shared" si="3"/>
        <v>50</v>
      </c>
      <c r="K11" s="130">
        <f t="shared" si="4"/>
        <v>0</v>
      </c>
      <c r="L11" s="130">
        <f t="shared" si="5"/>
        <v>5</v>
      </c>
      <c r="M11" s="50"/>
      <c r="N11" s="146" t="s">
        <v>42</v>
      </c>
      <c r="O11" s="147">
        <v>50.0</v>
      </c>
      <c r="P11" s="147">
        <f t="shared" si="6"/>
        <v>0</v>
      </c>
      <c r="Q11" s="52"/>
      <c r="R11" s="50"/>
      <c r="S11" s="52"/>
      <c r="T11" s="52"/>
      <c r="U11" s="52"/>
    </row>
    <row r="12">
      <c r="A12" s="142" t="s">
        <v>39</v>
      </c>
      <c r="B12" s="143">
        <v>1.0</v>
      </c>
      <c r="C12" s="130">
        <f t="shared" si="1"/>
        <v>10</v>
      </c>
      <c r="D12" s="130">
        <v>0.0</v>
      </c>
      <c r="E12" s="130">
        <v>0.0</v>
      </c>
      <c r="F12" s="130">
        <v>0.0</v>
      </c>
      <c r="G12" s="130">
        <v>0.0</v>
      </c>
      <c r="H12" s="130">
        <v>0.0</v>
      </c>
      <c r="I12" s="145">
        <f t="shared" si="2"/>
        <v>10</v>
      </c>
      <c r="J12" s="130">
        <f t="shared" si="3"/>
        <v>50</v>
      </c>
      <c r="K12" s="130">
        <f t="shared" si="4"/>
        <v>0</v>
      </c>
      <c r="L12" s="130">
        <f t="shared" si="5"/>
        <v>-40</v>
      </c>
      <c r="M12" s="50"/>
      <c r="N12" s="146" t="s">
        <v>39</v>
      </c>
      <c r="O12" s="147">
        <v>50.0</v>
      </c>
      <c r="P12" s="147">
        <f t="shared" si="6"/>
        <v>0</v>
      </c>
      <c r="Q12" s="52"/>
      <c r="R12" s="50"/>
      <c r="S12" s="52"/>
      <c r="T12" s="52"/>
      <c r="U12" s="52"/>
    </row>
    <row r="13">
      <c r="A13" s="142" t="s">
        <v>30</v>
      </c>
      <c r="B13" s="143">
        <v>3.0</v>
      </c>
      <c r="C13" s="130">
        <f t="shared" si="1"/>
        <v>30</v>
      </c>
      <c r="D13" s="130">
        <v>16.0</v>
      </c>
      <c r="E13" s="130">
        <v>0.0</v>
      </c>
      <c r="F13" s="130">
        <v>0.0</v>
      </c>
      <c r="G13" s="130">
        <v>0.0</v>
      </c>
      <c r="H13" s="130">
        <v>269.0</v>
      </c>
      <c r="I13" s="145">
        <f t="shared" si="2"/>
        <v>315</v>
      </c>
      <c r="J13" s="130">
        <f t="shared" si="3"/>
        <v>50</v>
      </c>
      <c r="K13" s="130">
        <f t="shared" si="4"/>
        <v>0</v>
      </c>
      <c r="L13" s="130">
        <f t="shared" si="5"/>
        <v>265</v>
      </c>
      <c r="M13" s="50"/>
      <c r="N13" s="146" t="s">
        <v>30</v>
      </c>
      <c r="O13" s="147">
        <v>50.0</v>
      </c>
      <c r="P13" s="147">
        <f t="shared" si="6"/>
        <v>0</v>
      </c>
      <c r="Q13" s="52"/>
      <c r="R13" s="50"/>
      <c r="S13" s="52"/>
      <c r="T13" s="52"/>
      <c r="U13" s="52"/>
    </row>
    <row r="14">
      <c r="A14" s="50"/>
      <c r="B14" s="50"/>
      <c r="C14" s="152">
        <f t="shared" ref="C14:J14" si="7">SUM(C2:C13)</f>
        <v>140</v>
      </c>
      <c r="D14" s="152">
        <f t="shared" si="7"/>
        <v>16</v>
      </c>
      <c r="E14" s="152">
        <f t="shared" si="7"/>
        <v>25</v>
      </c>
      <c r="F14" s="152">
        <f t="shared" si="7"/>
        <v>50</v>
      </c>
      <c r="G14" s="152">
        <f t="shared" si="7"/>
        <v>100</v>
      </c>
      <c r="H14" s="152">
        <f t="shared" si="7"/>
        <v>269</v>
      </c>
      <c r="I14" s="152">
        <f t="shared" si="7"/>
        <v>600</v>
      </c>
      <c r="J14" s="153">
        <f t="shared" si="7"/>
        <v>560</v>
      </c>
      <c r="K14" s="152">
        <f>sum(K2:K13)</f>
        <v>-40</v>
      </c>
      <c r="L14" s="152">
        <f>SUM(L2:L13)</f>
        <v>40</v>
      </c>
      <c r="M14" s="50"/>
      <c r="N14" s="154" t="s">
        <v>66</v>
      </c>
      <c r="O14" s="155">
        <f t="shared" ref="O14:P14" si="8">SUM(O2:O13)</f>
        <v>560</v>
      </c>
      <c r="P14" s="156">
        <f t="shared" si="8"/>
        <v>-40</v>
      </c>
      <c r="Q14" s="52"/>
      <c r="R14" s="50"/>
      <c r="S14" s="52"/>
      <c r="T14" s="52"/>
      <c r="U14" s="52"/>
    </row>
    <row r="15">
      <c r="A15" s="50"/>
      <c r="B15" s="50"/>
      <c r="C15" s="50"/>
      <c r="D15" s="50"/>
      <c r="E15" s="50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</row>
    <row r="16">
      <c r="A16" s="157" t="s">
        <v>118</v>
      </c>
      <c r="B16" s="158" t="s">
        <v>0</v>
      </c>
      <c r="C16" s="158" t="s">
        <v>119</v>
      </c>
      <c r="D16" s="158" t="s">
        <v>114</v>
      </c>
      <c r="E16" s="158" t="s">
        <v>120</v>
      </c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</row>
    <row r="17">
      <c r="A17" s="159" t="s">
        <v>121</v>
      </c>
      <c r="B17" s="160" t="s">
        <v>46</v>
      </c>
      <c r="C17" s="161">
        <v>10.0</v>
      </c>
      <c r="D17" s="162" t="s">
        <v>122</v>
      </c>
      <c r="E17" s="163">
        <v>191.32</v>
      </c>
      <c r="F17" s="52"/>
      <c r="G17" s="52"/>
      <c r="H17" s="52"/>
      <c r="I17" s="52"/>
      <c r="J17" s="52"/>
      <c r="K17" s="52"/>
      <c r="L17" s="164" t="s">
        <v>123</v>
      </c>
      <c r="M17" s="164" t="s">
        <v>124</v>
      </c>
      <c r="N17" s="164" t="s">
        <v>125</v>
      </c>
      <c r="O17" s="164" t="s">
        <v>126</v>
      </c>
      <c r="P17" s="164" t="s">
        <v>127</v>
      </c>
      <c r="Q17" s="164" t="s">
        <v>128</v>
      </c>
      <c r="R17" s="164" t="s">
        <v>129</v>
      </c>
      <c r="S17" s="164" t="s">
        <v>130</v>
      </c>
      <c r="T17" s="164" t="s">
        <v>131</v>
      </c>
      <c r="U17" s="52"/>
    </row>
    <row r="18">
      <c r="A18" s="159" t="s">
        <v>132</v>
      </c>
      <c r="B18" s="160" t="s">
        <v>30</v>
      </c>
      <c r="C18" s="161">
        <v>10.0</v>
      </c>
      <c r="D18" s="162" t="s">
        <v>122</v>
      </c>
      <c r="E18" s="163">
        <v>195.32</v>
      </c>
      <c r="F18" s="52"/>
      <c r="G18" s="52"/>
      <c r="H18" s="52"/>
      <c r="I18" s="52"/>
      <c r="J18" s="52"/>
      <c r="K18" s="52"/>
      <c r="L18" s="165">
        <v>1.0</v>
      </c>
      <c r="M18" s="166" t="s">
        <v>133</v>
      </c>
      <c r="N18" s="167">
        <v>11.0</v>
      </c>
      <c r="O18" s="167">
        <v>3.0</v>
      </c>
      <c r="P18" s="165">
        <v>0.0</v>
      </c>
      <c r="Q18" s="168">
        <v>0.0</v>
      </c>
      <c r="R18" s="167">
        <v>1967.73</v>
      </c>
      <c r="S18" s="167">
        <v>1732.18</v>
      </c>
      <c r="T18" s="165">
        <f>R24-R18</f>
        <v>-53.83</v>
      </c>
      <c r="U18" s="52"/>
    </row>
    <row r="19">
      <c r="A19" s="159" t="s">
        <v>134</v>
      </c>
      <c r="B19" s="160" t="s">
        <v>38</v>
      </c>
      <c r="C19" s="161">
        <v>10.0</v>
      </c>
      <c r="D19" s="162" t="s">
        <v>122</v>
      </c>
      <c r="E19" s="163">
        <v>176.8</v>
      </c>
      <c r="F19" s="52"/>
      <c r="G19" s="52"/>
      <c r="H19" s="52"/>
      <c r="I19" s="52"/>
      <c r="J19" s="52"/>
      <c r="K19" s="169">
        <v>4.02</v>
      </c>
      <c r="L19" s="165">
        <v>2.0</v>
      </c>
      <c r="M19" s="166" t="s">
        <v>135</v>
      </c>
      <c r="N19" s="167">
        <v>9.0</v>
      </c>
      <c r="O19" s="167">
        <v>5.0</v>
      </c>
      <c r="P19" s="165">
        <v>0.0</v>
      </c>
      <c r="Q19" s="168">
        <v>2.0</v>
      </c>
      <c r="R19" s="167">
        <v>2282.29</v>
      </c>
      <c r="S19" s="167">
        <v>1977.81</v>
      </c>
      <c r="T19" s="165">
        <f>R23-R19</f>
        <v>-255.94</v>
      </c>
      <c r="U19" s="52"/>
    </row>
    <row r="20">
      <c r="A20" s="159" t="s">
        <v>136</v>
      </c>
      <c r="B20" s="160" t="s">
        <v>42</v>
      </c>
      <c r="C20" s="161">
        <v>10.0</v>
      </c>
      <c r="D20" s="162" t="s">
        <v>122</v>
      </c>
      <c r="E20" s="163">
        <v>187.68</v>
      </c>
      <c r="F20" s="170"/>
      <c r="G20" s="52"/>
      <c r="H20" s="52"/>
      <c r="I20" s="52"/>
      <c r="J20" s="52"/>
      <c r="K20" s="52"/>
      <c r="L20" s="165">
        <v>3.0</v>
      </c>
      <c r="M20" s="166" t="s">
        <v>137</v>
      </c>
      <c r="N20" s="167">
        <v>9.0</v>
      </c>
      <c r="O20" s="167">
        <v>5.0</v>
      </c>
      <c r="P20" s="165">
        <v>0.0</v>
      </c>
      <c r="Q20" s="168">
        <v>2.0</v>
      </c>
      <c r="R20" s="167">
        <v>2226.1</v>
      </c>
      <c r="S20" s="167">
        <v>2025.63</v>
      </c>
      <c r="T20" s="165">
        <f>R23-R20</f>
        <v>-199.75</v>
      </c>
      <c r="U20" s="52"/>
    </row>
    <row r="21">
      <c r="A21" s="159" t="s">
        <v>138</v>
      </c>
      <c r="B21" s="160" t="s">
        <v>30</v>
      </c>
      <c r="C21" s="161">
        <v>10.0</v>
      </c>
      <c r="D21" s="162" t="s">
        <v>122</v>
      </c>
      <c r="E21" s="163">
        <v>197.5</v>
      </c>
      <c r="F21" s="52"/>
      <c r="G21" s="52"/>
      <c r="H21" s="52"/>
      <c r="I21" s="52"/>
      <c r="J21" s="52"/>
      <c r="K21" s="52"/>
      <c r="L21" s="165">
        <v>4.0</v>
      </c>
      <c r="M21" s="166" t="s">
        <v>139</v>
      </c>
      <c r="N21" s="167">
        <v>9.0</v>
      </c>
      <c r="O21" s="167">
        <v>5.0</v>
      </c>
      <c r="P21" s="165">
        <v>0.0</v>
      </c>
      <c r="Q21" s="168">
        <v>2.0</v>
      </c>
      <c r="R21" s="167">
        <v>1986.77</v>
      </c>
      <c r="S21" s="167">
        <v>1793.02</v>
      </c>
      <c r="T21" s="165">
        <f>R23-R21</f>
        <v>39.58</v>
      </c>
      <c r="U21" s="52"/>
    </row>
    <row r="22">
      <c r="A22" s="159" t="s">
        <v>140</v>
      </c>
      <c r="B22" s="160" t="s">
        <v>42</v>
      </c>
      <c r="C22" s="161">
        <v>10.0</v>
      </c>
      <c r="D22" s="162" t="s">
        <v>122</v>
      </c>
      <c r="E22" s="163">
        <v>190.34</v>
      </c>
      <c r="F22" s="170"/>
      <c r="G22" s="52"/>
      <c r="H22" s="52"/>
      <c r="I22" s="52"/>
      <c r="J22" s="50"/>
      <c r="K22" s="52"/>
      <c r="L22" s="165">
        <v>5.0</v>
      </c>
      <c r="M22" s="166" t="s">
        <v>141</v>
      </c>
      <c r="N22" s="167">
        <v>8.0</v>
      </c>
      <c r="O22" s="167">
        <v>6.0</v>
      </c>
      <c r="P22" s="165">
        <v>0.0</v>
      </c>
      <c r="Q22" s="168">
        <v>3.0</v>
      </c>
      <c r="R22" s="167">
        <v>2094.35</v>
      </c>
      <c r="S22" s="167">
        <v>1985.39</v>
      </c>
      <c r="T22" s="165">
        <f>R23-R22</f>
        <v>-68</v>
      </c>
      <c r="U22" s="52"/>
    </row>
    <row r="23">
      <c r="A23" s="159" t="s">
        <v>142</v>
      </c>
      <c r="B23" s="160" t="s">
        <v>116</v>
      </c>
      <c r="C23" s="161">
        <v>10.0</v>
      </c>
      <c r="D23" s="162" t="s">
        <v>122</v>
      </c>
      <c r="E23" s="163">
        <v>188.74</v>
      </c>
      <c r="F23" s="52"/>
      <c r="G23" s="52"/>
      <c r="H23" s="52"/>
      <c r="I23" s="52"/>
      <c r="J23" s="50"/>
      <c r="K23" s="52"/>
      <c r="L23" s="165">
        <v>6.0</v>
      </c>
      <c r="M23" s="166" t="s">
        <v>143</v>
      </c>
      <c r="N23" s="167">
        <v>6.0</v>
      </c>
      <c r="O23" s="167">
        <v>8.0</v>
      </c>
      <c r="P23" s="165">
        <v>0.0</v>
      </c>
      <c r="Q23" s="168">
        <v>5.0</v>
      </c>
      <c r="R23" s="167">
        <v>2026.35</v>
      </c>
      <c r="S23" s="167">
        <v>2067.58</v>
      </c>
      <c r="T23" s="165">
        <f>R23-R23</f>
        <v>0</v>
      </c>
      <c r="U23" s="52"/>
    </row>
    <row r="24">
      <c r="A24" s="159" t="s">
        <v>144</v>
      </c>
      <c r="B24" s="160" t="s">
        <v>30</v>
      </c>
      <c r="C24" s="161">
        <v>10.0</v>
      </c>
      <c r="D24" s="162" t="s">
        <v>122</v>
      </c>
      <c r="E24" s="163">
        <v>177.91</v>
      </c>
      <c r="F24" s="170"/>
      <c r="G24" s="52"/>
      <c r="H24" s="52"/>
      <c r="I24" s="52"/>
      <c r="J24" s="50"/>
      <c r="K24" s="52"/>
      <c r="L24" s="171">
        <v>7.0</v>
      </c>
      <c r="M24" s="172" t="s">
        <v>145</v>
      </c>
      <c r="N24" s="173">
        <v>5.0</v>
      </c>
      <c r="O24" s="173">
        <v>9.0</v>
      </c>
      <c r="P24" s="171">
        <v>0.0</v>
      </c>
      <c r="Q24" s="174">
        <v>6.0</v>
      </c>
      <c r="R24" s="173">
        <v>1913.9</v>
      </c>
      <c r="S24" s="173">
        <v>1877.35</v>
      </c>
      <c r="T24" s="171">
        <f>R23-R24</f>
        <v>112.45</v>
      </c>
      <c r="U24" s="52"/>
    </row>
    <row r="25">
      <c r="A25" s="159" t="s">
        <v>146</v>
      </c>
      <c r="B25" s="160" t="s">
        <v>31</v>
      </c>
      <c r="C25" s="161">
        <v>10.0</v>
      </c>
      <c r="D25" s="162" t="s">
        <v>122</v>
      </c>
      <c r="E25" s="163">
        <v>179.21</v>
      </c>
      <c r="F25" s="52"/>
      <c r="G25" s="52"/>
      <c r="H25" s="52"/>
      <c r="I25" s="52"/>
      <c r="J25" s="50"/>
      <c r="K25" s="52"/>
      <c r="L25" s="171">
        <v>8.0</v>
      </c>
      <c r="M25" s="172" t="s">
        <v>147</v>
      </c>
      <c r="N25" s="173">
        <v>8.0</v>
      </c>
      <c r="O25" s="173">
        <v>6.0</v>
      </c>
      <c r="P25" s="171">
        <v>0.0</v>
      </c>
      <c r="Q25" s="174">
        <v>3.0</v>
      </c>
      <c r="R25" s="173">
        <v>1848.02</v>
      </c>
      <c r="S25" s="173">
        <v>1929.93</v>
      </c>
      <c r="T25" s="171">
        <f>R23-R25</f>
        <v>178.33</v>
      </c>
      <c r="U25" s="52"/>
    </row>
    <row r="26">
      <c r="A26" s="159" t="s">
        <v>148</v>
      </c>
      <c r="B26" s="160" t="s">
        <v>42</v>
      </c>
      <c r="C26" s="161">
        <v>10.0</v>
      </c>
      <c r="D26" s="162" t="s">
        <v>122</v>
      </c>
      <c r="E26" s="163">
        <v>239.45</v>
      </c>
      <c r="F26" s="52"/>
      <c r="G26" s="52"/>
      <c r="H26" s="52"/>
      <c r="I26" s="52"/>
      <c r="J26" s="50"/>
      <c r="K26" s="52"/>
      <c r="L26" s="171">
        <v>9.0</v>
      </c>
      <c r="M26" s="172" t="s">
        <v>149</v>
      </c>
      <c r="N26" s="173">
        <v>7.0</v>
      </c>
      <c r="O26" s="173">
        <v>7.0</v>
      </c>
      <c r="P26" s="171">
        <v>0.0</v>
      </c>
      <c r="Q26" s="174">
        <v>4.0</v>
      </c>
      <c r="R26" s="173">
        <v>1792.87</v>
      </c>
      <c r="S26" s="173">
        <v>1885.77</v>
      </c>
      <c r="T26" s="171">
        <f>R23-R26</f>
        <v>233.48</v>
      </c>
      <c r="U26" s="52"/>
    </row>
    <row r="27">
      <c r="A27" s="159" t="s">
        <v>150</v>
      </c>
      <c r="B27" s="160" t="s">
        <v>46</v>
      </c>
      <c r="C27" s="161">
        <v>10.0</v>
      </c>
      <c r="D27" s="162" t="s">
        <v>122</v>
      </c>
      <c r="E27" s="163">
        <v>182.69</v>
      </c>
      <c r="F27" s="50"/>
      <c r="G27" s="52"/>
      <c r="H27" s="52"/>
      <c r="I27" s="52"/>
      <c r="J27" s="50"/>
      <c r="K27" s="52"/>
      <c r="L27" s="171">
        <v>10.0</v>
      </c>
      <c r="M27" s="172" t="s">
        <v>151</v>
      </c>
      <c r="N27" s="173">
        <v>5.0</v>
      </c>
      <c r="O27" s="173">
        <v>9.0</v>
      </c>
      <c r="P27" s="171">
        <v>0.0</v>
      </c>
      <c r="Q27" s="174">
        <v>6.0</v>
      </c>
      <c r="R27" s="173">
        <v>1784.31</v>
      </c>
      <c r="S27" s="173">
        <v>1823.0</v>
      </c>
      <c r="T27" s="171">
        <f>R23-R27</f>
        <v>242.04</v>
      </c>
      <c r="U27" s="52"/>
    </row>
    <row r="28">
      <c r="A28" s="159" t="s">
        <v>152</v>
      </c>
      <c r="B28" s="160" t="s">
        <v>39</v>
      </c>
      <c r="C28" s="161">
        <v>10.0</v>
      </c>
      <c r="D28" s="162" t="s">
        <v>122</v>
      </c>
      <c r="E28" s="163">
        <v>208.95</v>
      </c>
      <c r="F28" s="170"/>
      <c r="G28" s="52"/>
      <c r="H28" s="52"/>
      <c r="I28" s="52"/>
      <c r="J28" s="50"/>
      <c r="K28" s="52"/>
      <c r="L28" s="175">
        <v>11.0</v>
      </c>
      <c r="M28" s="172" t="s">
        <v>153</v>
      </c>
      <c r="N28" s="163">
        <v>3.0</v>
      </c>
      <c r="O28" s="163">
        <v>11.0</v>
      </c>
      <c r="P28" s="175">
        <v>0.0</v>
      </c>
      <c r="Q28" s="174">
        <v>8.0</v>
      </c>
      <c r="R28" s="163">
        <v>1653.05</v>
      </c>
      <c r="S28" s="163">
        <v>1906.62</v>
      </c>
      <c r="T28" s="171">
        <f>R23-R28</f>
        <v>373.3</v>
      </c>
      <c r="U28" s="52"/>
    </row>
    <row r="29">
      <c r="A29" s="159" t="s">
        <v>154</v>
      </c>
      <c r="B29" s="160" t="s">
        <v>31</v>
      </c>
      <c r="C29" s="161">
        <v>10.0</v>
      </c>
      <c r="D29" s="162" t="s">
        <v>122</v>
      </c>
      <c r="E29" s="163">
        <v>167.18</v>
      </c>
      <c r="F29" s="52"/>
      <c r="G29" s="52"/>
      <c r="H29" s="52"/>
      <c r="I29" s="52"/>
      <c r="J29" s="50"/>
      <c r="K29" s="52"/>
      <c r="L29" s="175">
        <v>12.0</v>
      </c>
      <c r="M29" s="172" t="s">
        <v>155</v>
      </c>
      <c r="N29" s="173">
        <v>4.0</v>
      </c>
      <c r="O29" s="173">
        <v>10.0</v>
      </c>
      <c r="P29" s="171">
        <v>0.0</v>
      </c>
      <c r="Q29" s="174">
        <v>7.0</v>
      </c>
      <c r="R29" s="163">
        <v>1536.7</v>
      </c>
      <c r="S29" s="163">
        <v>2108.47</v>
      </c>
      <c r="T29" s="171">
        <f>R23-R29</f>
        <v>489.65</v>
      </c>
      <c r="U29" s="52"/>
    </row>
    <row r="30">
      <c r="A30" s="176" t="s">
        <v>156</v>
      </c>
      <c r="B30" s="177" t="s">
        <v>38</v>
      </c>
      <c r="C30" s="178">
        <v>10.0</v>
      </c>
      <c r="D30" s="179" t="s">
        <v>122</v>
      </c>
      <c r="E30" s="180">
        <v>181.5</v>
      </c>
      <c r="F30" s="52"/>
      <c r="G30" s="52"/>
      <c r="H30" s="52"/>
      <c r="I30" s="52"/>
      <c r="J30" s="50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</row>
    <row r="31">
      <c r="A31" s="181" t="s">
        <v>75</v>
      </c>
      <c r="B31" s="182" t="s">
        <v>30</v>
      </c>
      <c r="C31" s="183">
        <v>16.0</v>
      </c>
      <c r="D31" s="184" t="s">
        <v>122</v>
      </c>
      <c r="E31" s="185"/>
      <c r="F31" s="52"/>
      <c r="G31" s="52"/>
      <c r="H31" s="52"/>
      <c r="I31" s="52"/>
      <c r="J31" s="50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</row>
    <row r="32">
      <c r="A32" s="159" t="s">
        <v>76</v>
      </c>
      <c r="B32" s="160" t="s">
        <v>42</v>
      </c>
      <c r="C32" s="161">
        <v>25.0</v>
      </c>
      <c r="D32" s="162" t="s">
        <v>122</v>
      </c>
      <c r="E32" s="186">
        <v>124.4</v>
      </c>
      <c r="F32" s="50"/>
      <c r="G32" s="52"/>
      <c r="H32" s="187"/>
      <c r="I32" s="52"/>
      <c r="J32" s="50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</row>
    <row r="33">
      <c r="A33" s="159" t="s">
        <v>77</v>
      </c>
      <c r="B33" s="160" t="s">
        <v>38</v>
      </c>
      <c r="C33" s="161">
        <v>50.0</v>
      </c>
      <c r="D33" s="162" t="s">
        <v>122</v>
      </c>
      <c r="E33" s="163">
        <v>151.18</v>
      </c>
      <c r="F33" s="52"/>
      <c r="G33" s="52"/>
      <c r="H33" s="52"/>
      <c r="I33" s="52"/>
      <c r="J33" s="50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</row>
    <row r="34">
      <c r="A34" s="159" t="s">
        <v>78</v>
      </c>
      <c r="B34" s="160" t="s">
        <v>32</v>
      </c>
      <c r="C34" s="161">
        <v>100.0</v>
      </c>
      <c r="D34" s="162" t="s">
        <v>122</v>
      </c>
      <c r="E34" s="163">
        <v>117.43</v>
      </c>
      <c r="F34" s="170"/>
      <c r="G34" s="52"/>
      <c r="H34" s="52"/>
      <c r="I34" s="52"/>
      <c r="J34" s="50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</row>
    <row r="35">
      <c r="A35" s="159" t="s">
        <v>79</v>
      </c>
      <c r="B35" s="160" t="s">
        <v>30</v>
      </c>
      <c r="C35" s="161">
        <v>269.0</v>
      </c>
      <c r="D35" s="162" t="s">
        <v>122</v>
      </c>
      <c r="E35" s="163">
        <v>167.69</v>
      </c>
      <c r="F35" s="170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</row>
    <row r="36">
      <c r="A36" s="188" t="s">
        <v>66</v>
      </c>
      <c r="B36" s="136"/>
      <c r="C36" s="189">
        <f>SUM(C17:C35)</f>
        <v>600</v>
      </c>
      <c r="D36" s="50"/>
      <c r="E36" s="50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</row>
    <row r="37">
      <c r="A37" s="190"/>
      <c r="B37" s="191"/>
      <c r="C37" s="192"/>
      <c r="D37" s="50"/>
      <c r="E37" s="50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</row>
    <row r="38">
      <c r="A38" s="11" t="s">
        <v>157</v>
      </c>
    </row>
  </sheetData>
  <mergeCells count="2">
    <mergeCell ref="A36:B36"/>
    <mergeCell ref="A37:B3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7.13"/>
    <col customWidth="1" min="3" max="3" width="8.88"/>
    <col customWidth="1" min="4" max="5" width="8.75"/>
    <col customWidth="1" min="6" max="6" width="7.25"/>
    <col customWidth="1" min="7" max="7" width="6.13"/>
    <col customWidth="1" min="8" max="8" width="8.25"/>
    <col customWidth="1" min="9" max="9" width="7.88"/>
    <col customWidth="1" min="10" max="10" width="8.38"/>
    <col customWidth="1" min="11" max="11" width="9.25"/>
    <col customWidth="1" min="12" max="12" width="10.13"/>
    <col customWidth="1" min="13" max="13" width="11.75"/>
    <col customWidth="1" min="14" max="14" width="7.38"/>
    <col customWidth="1" min="15" max="15" width="7.0"/>
    <col customWidth="1" min="16" max="16" width="7.13"/>
    <col customWidth="1" min="17" max="17" width="7.38"/>
    <col customWidth="1" min="18" max="19" width="6.5"/>
    <col customWidth="1" min="20" max="20" width="9.0"/>
  </cols>
  <sheetData>
    <row r="1">
      <c r="A1" s="139" t="s">
        <v>0</v>
      </c>
      <c r="B1" s="140" t="s">
        <v>108</v>
      </c>
      <c r="C1" s="140" t="s">
        <v>108</v>
      </c>
      <c r="D1" s="193" t="s">
        <v>75</v>
      </c>
      <c r="E1" s="140" t="s">
        <v>76</v>
      </c>
      <c r="F1" s="140" t="s">
        <v>77</v>
      </c>
      <c r="G1" s="140" t="s">
        <v>78</v>
      </c>
      <c r="H1" s="140" t="s">
        <v>109</v>
      </c>
      <c r="I1" s="140" t="s">
        <v>110</v>
      </c>
      <c r="J1" s="140" t="s">
        <v>111</v>
      </c>
      <c r="K1" s="193" t="s">
        <v>112</v>
      </c>
      <c r="L1" s="140" t="s">
        <v>113</v>
      </c>
      <c r="M1" s="50"/>
      <c r="N1" s="194" t="s">
        <v>67</v>
      </c>
      <c r="O1" s="194" t="s">
        <v>114</v>
      </c>
      <c r="P1" s="194" t="s">
        <v>115</v>
      </c>
      <c r="Q1" s="52"/>
      <c r="R1" s="50"/>
      <c r="S1" s="195"/>
      <c r="T1" s="195"/>
      <c r="U1" s="195"/>
    </row>
    <row r="2">
      <c r="A2" s="142" t="s">
        <v>46</v>
      </c>
      <c r="B2" s="196">
        <v>2.0</v>
      </c>
      <c r="C2" s="130">
        <f t="shared" ref="C2:C13" si="1">10*B2</f>
        <v>20</v>
      </c>
      <c r="D2" s="197">
        <v>0.0</v>
      </c>
      <c r="E2" s="197">
        <v>25.0</v>
      </c>
      <c r="F2" s="197">
        <v>0.0</v>
      </c>
      <c r="G2" s="198">
        <v>0.0</v>
      </c>
      <c r="H2" s="197">
        <v>0.0</v>
      </c>
      <c r="I2" s="145">
        <f t="shared" ref="I2:I4" si="2">sum(D2:H2)</f>
        <v>25</v>
      </c>
      <c r="J2" s="130">
        <f t="shared" ref="J2:J13" si="3">O2</f>
        <v>50</v>
      </c>
      <c r="K2" s="130">
        <f t="shared" ref="K2:K13" si="4">J2-50</f>
        <v>0</v>
      </c>
      <c r="L2" s="130">
        <f t="shared" ref="L2:L13" si="5">I2-J2</f>
        <v>-25</v>
      </c>
      <c r="M2" s="50"/>
      <c r="N2" s="199" t="s">
        <v>46</v>
      </c>
      <c r="O2" s="200">
        <v>50.0</v>
      </c>
      <c r="P2" s="201">
        <f t="shared" ref="P2:P13" si="6">O2-50</f>
        <v>0</v>
      </c>
      <c r="Q2" s="52"/>
      <c r="R2" s="50"/>
      <c r="S2" s="195"/>
      <c r="T2" s="195"/>
      <c r="U2" s="195"/>
    </row>
    <row r="3">
      <c r="A3" s="142" t="s">
        <v>38</v>
      </c>
      <c r="B3" s="196">
        <v>3.0</v>
      </c>
      <c r="C3" s="130">
        <f t="shared" si="1"/>
        <v>30</v>
      </c>
      <c r="D3" s="197">
        <v>0.0</v>
      </c>
      <c r="E3" s="197">
        <v>0.0</v>
      </c>
      <c r="F3" s="197">
        <v>0.0</v>
      </c>
      <c r="G3" s="197">
        <v>100.0</v>
      </c>
      <c r="H3" s="197">
        <v>0.0</v>
      </c>
      <c r="I3" s="145">
        <f t="shared" si="2"/>
        <v>100</v>
      </c>
      <c r="J3" s="130">
        <f t="shared" si="3"/>
        <v>50</v>
      </c>
      <c r="K3" s="130">
        <f t="shared" si="4"/>
        <v>0</v>
      </c>
      <c r="L3" s="130">
        <f t="shared" si="5"/>
        <v>50</v>
      </c>
      <c r="M3" s="134"/>
      <c r="N3" s="199" t="s">
        <v>38</v>
      </c>
      <c r="O3" s="200">
        <v>50.0</v>
      </c>
      <c r="P3" s="201">
        <f t="shared" si="6"/>
        <v>0</v>
      </c>
      <c r="Q3" s="52"/>
      <c r="R3" s="50"/>
      <c r="S3" s="195"/>
      <c r="T3" s="195"/>
      <c r="U3" s="195"/>
    </row>
    <row r="4">
      <c r="A4" s="142" t="s">
        <v>36</v>
      </c>
      <c r="B4" s="196">
        <v>0.0</v>
      </c>
      <c r="C4" s="130">
        <f t="shared" si="1"/>
        <v>0</v>
      </c>
      <c r="D4" s="197">
        <v>0.0</v>
      </c>
      <c r="E4" s="197">
        <v>0.0</v>
      </c>
      <c r="F4" s="197">
        <v>0.0</v>
      </c>
      <c r="G4" s="197">
        <v>0.0</v>
      </c>
      <c r="H4" s="197">
        <v>0.0</v>
      </c>
      <c r="I4" s="145">
        <f t="shared" si="2"/>
        <v>0</v>
      </c>
      <c r="J4" s="130">
        <f t="shared" si="3"/>
        <v>50</v>
      </c>
      <c r="K4" s="130">
        <f t="shared" si="4"/>
        <v>0</v>
      </c>
      <c r="L4" s="130">
        <f t="shared" si="5"/>
        <v>-50</v>
      </c>
      <c r="M4" s="50"/>
      <c r="N4" s="199" t="s">
        <v>36</v>
      </c>
      <c r="O4" s="200">
        <v>50.0</v>
      </c>
      <c r="P4" s="201">
        <f t="shared" si="6"/>
        <v>0</v>
      </c>
      <c r="Q4" s="52"/>
      <c r="R4" s="50"/>
      <c r="S4" s="195"/>
      <c r="T4" s="195"/>
      <c r="U4" s="195"/>
    </row>
    <row r="5">
      <c r="A5" s="202" t="s">
        <v>45</v>
      </c>
      <c r="B5" s="196">
        <v>0.0</v>
      </c>
      <c r="C5" s="130">
        <f t="shared" si="1"/>
        <v>0</v>
      </c>
      <c r="D5" s="197">
        <v>0.0</v>
      </c>
      <c r="E5" s="197">
        <v>0.0</v>
      </c>
      <c r="F5" s="197">
        <v>50.0</v>
      </c>
      <c r="G5" s="197">
        <v>0.0</v>
      </c>
      <c r="H5" s="197">
        <v>0.0</v>
      </c>
      <c r="I5" s="203">
        <v>0.0</v>
      </c>
      <c r="J5" s="130">
        <f t="shared" si="3"/>
        <v>50</v>
      </c>
      <c r="K5" s="130">
        <f t="shared" si="4"/>
        <v>0</v>
      </c>
      <c r="L5" s="130">
        <f t="shared" si="5"/>
        <v>-50</v>
      </c>
      <c r="M5" s="50"/>
      <c r="N5" s="204" t="s">
        <v>45</v>
      </c>
      <c r="O5" s="200">
        <v>50.0</v>
      </c>
      <c r="P5" s="201">
        <f t="shared" si="6"/>
        <v>0</v>
      </c>
      <c r="Q5" s="52"/>
      <c r="R5" s="50"/>
      <c r="S5" s="195"/>
      <c r="T5" s="195"/>
      <c r="U5" s="195"/>
    </row>
    <row r="6">
      <c r="A6" s="202" t="s">
        <v>33</v>
      </c>
      <c r="B6" s="196">
        <v>0.0</v>
      </c>
      <c r="C6" s="130">
        <f t="shared" si="1"/>
        <v>0</v>
      </c>
      <c r="D6" s="197">
        <v>0.0</v>
      </c>
      <c r="E6" s="197">
        <v>0.0</v>
      </c>
      <c r="F6" s="197">
        <v>0.0</v>
      </c>
      <c r="G6" s="197">
        <v>0.0</v>
      </c>
      <c r="H6" s="197">
        <v>0.0</v>
      </c>
      <c r="I6" s="145">
        <f t="shared" ref="I6:I9" si="7">sum(D6:H6)</f>
        <v>0</v>
      </c>
      <c r="J6" s="130">
        <f t="shared" si="3"/>
        <v>50</v>
      </c>
      <c r="K6" s="130">
        <f t="shared" si="4"/>
        <v>0</v>
      </c>
      <c r="L6" s="130">
        <f t="shared" si="5"/>
        <v>-50</v>
      </c>
      <c r="M6" s="50"/>
      <c r="N6" s="204" t="s">
        <v>33</v>
      </c>
      <c r="O6" s="200">
        <v>50.0</v>
      </c>
      <c r="P6" s="201">
        <f t="shared" si="6"/>
        <v>0</v>
      </c>
      <c r="Q6" s="52"/>
      <c r="R6" s="50"/>
      <c r="S6" s="195"/>
      <c r="T6" s="195"/>
      <c r="U6" s="195"/>
    </row>
    <row r="7">
      <c r="A7" s="142" t="s">
        <v>31</v>
      </c>
      <c r="B7" s="196">
        <v>3.0</v>
      </c>
      <c r="C7" s="130">
        <f t="shared" si="1"/>
        <v>30</v>
      </c>
      <c r="D7" s="197">
        <v>17.71</v>
      </c>
      <c r="E7" s="197">
        <v>0.0</v>
      </c>
      <c r="F7" s="197">
        <v>0.0</v>
      </c>
      <c r="G7" s="197">
        <v>0.0</v>
      </c>
      <c r="H7" s="197">
        <v>267.0</v>
      </c>
      <c r="I7" s="145">
        <f t="shared" si="7"/>
        <v>284.71</v>
      </c>
      <c r="J7" s="130">
        <f t="shared" si="3"/>
        <v>50</v>
      </c>
      <c r="K7" s="130">
        <f t="shared" si="4"/>
        <v>0</v>
      </c>
      <c r="L7" s="130">
        <f t="shared" si="5"/>
        <v>234.71</v>
      </c>
      <c r="M7" s="50"/>
      <c r="N7" s="199" t="s">
        <v>31</v>
      </c>
      <c r="O7" s="200">
        <v>50.0</v>
      </c>
      <c r="P7" s="201">
        <f t="shared" si="6"/>
        <v>0</v>
      </c>
      <c r="Q7" s="52"/>
      <c r="R7" s="50"/>
      <c r="S7" s="195"/>
      <c r="T7" s="195"/>
      <c r="U7" s="195"/>
    </row>
    <row r="8">
      <c r="A8" s="142" t="s">
        <v>35</v>
      </c>
      <c r="B8" s="196">
        <v>0.0</v>
      </c>
      <c r="C8" s="130">
        <f t="shared" si="1"/>
        <v>0</v>
      </c>
      <c r="D8" s="197">
        <v>0.0</v>
      </c>
      <c r="E8" s="197">
        <v>0.0</v>
      </c>
      <c r="F8" s="197">
        <v>0.0</v>
      </c>
      <c r="G8" s="197">
        <v>0.0</v>
      </c>
      <c r="H8" s="197">
        <v>0.0</v>
      </c>
      <c r="I8" s="145">
        <f t="shared" si="7"/>
        <v>0</v>
      </c>
      <c r="J8" s="130">
        <f t="shared" si="3"/>
        <v>50</v>
      </c>
      <c r="K8" s="130">
        <f t="shared" si="4"/>
        <v>0</v>
      </c>
      <c r="L8" s="130">
        <f t="shared" si="5"/>
        <v>-50</v>
      </c>
      <c r="M8" s="50"/>
      <c r="N8" s="199" t="s">
        <v>35</v>
      </c>
      <c r="O8" s="200">
        <v>50.0</v>
      </c>
      <c r="P8" s="201">
        <f t="shared" si="6"/>
        <v>0</v>
      </c>
      <c r="Q8" s="52"/>
      <c r="R8" s="50"/>
      <c r="S8" s="195"/>
      <c r="T8" s="195"/>
      <c r="U8" s="195"/>
    </row>
    <row r="9">
      <c r="A9" s="142" t="s">
        <v>34</v>
      </c>
      <c r="B9" s="196">
        <v>3.0</v>
      </c>
      <c r="C9" s="130">
        <f t="shared" si="1"/>
        <v>30</v>
      </c>
      <c r="D9" s="197">
        <v>0.0</v>
      </c>
      <c r="E9" s="197">
        <v>0.0</v>
      </c>
      <c r="F9" s="197">
        <v>0.0</v>
      </c>
      <c r="G9" s="197">
        <v>0.0</v>
      </c>
      <c r="H9" s="197">
        <v>0.0</v>
      </c>
      <c r="I9" s="145">
        <f t="shared" si="7"/>
        <v>0</v>
      </c>
      <c r="J9" s="130">
        <f t="shared" si="3"/>
        <v>50</v>
      </c>
      <c r="K9" s="130">
        <f t="shared" si="4"/>
        <v>0</v>
      </c>
      <c r="L9" s="130">
        <f t="shared" si="5"/>
        <v>-50</v>
      </c>
      <c r="M9" s="50"/>
      <c r="N9" s="199" t="s">
        <v>34</v>
      </c>
      <c r="O9" s="200">
        <v>50.0</v>
      </c>
      <c r="P9" s="201">
        <f t="shared" si="6"/>
        <v>0</v>
      </c>
      <c r="Q9" s="52"/>
      <c r="R9" s="50"/>
      <c r="S9" s="195"/>
      <c r="T9" s="195"/>
      <c r="U9" s="195"/>
    </row>
    <row r="10">
      <c r="A10" s="202" t="s">
        <v>32</v>
      </c>
      <c r="B10" s="196">
        <v>1.0</v>
      </c>
      <c r="C10" s="130">
        <f t="shared" si="1"/>
        <v>10</v>
      </c>
      <c r="D10" s="197">
        <v>0.0</v>
      </c>
      <c r="E10" s="197">
        <v>0.0</v>
      </c>
      <c r="F10" s="197">
        <v>0.0</v>
      </c>
      <c r="G10" s="197">
        <v>0.0</v>
      </c>
      <c r="H10" s="197">
        <v>0.0</v>
      </c>
      <c r="I10" s="203">
        <v>205.0</v>
      </c>
      <c r="J10" s="130">
        <f t="shared" si="3"/>
        <v>50</v>
      </c>
      <c r="K10" s="130">
        <f t="shared" si="4"/>
        <v>0</v>
      </c>
      <c r="L10" s="130">
        <f t="shared" si="5"/>
        <v>155</v>
      </c>
      <c r="M10" s="50"/>
      <c r="N10" s="204" t="s">
        <v>32</v>
      </c>
      <c r="O10" s="200">
        <v>50.0</v>
      </c>
      <c r="P10" s="201">
        <f t="shared" si="6"/>
        <v>0</v>
      </c>
      <c r="Q10" s="52"/>
      <c r="R10" s="50"/>
      <c r="S10" s="195"/>
      <c r="T10" s="195"/>
      <c r="U10" s="195"/>
    </row>
    <row r="11">
      <c r="A11" s="142" t="s">
        <v>42</v>
      </c>
      <c r="B11" s="196">
        <v>0.0</v>
      </c>
      <c r="C11" s="130">
        <f t="shared" si="1"/>
        <v>0</v>
      </c>
      <c r="D11" s="197">
        <v>0.0</v>
      </c>
      <c r="E11" s="197">
        <v>0.0</v>
      </c>
      <c r="F11" s="197">
        <v>0.0</v>
      </c>
      <c r="G11" s="197">
        <v>0.0</v>
      </c>
      <c r="H11" s="197">
        <v>0.0</v>
      </c>
      <c r="I11" s="145">
        <f t="shared" ref="I11:I13" si="8">sum(D11:H11)</f>
        <v>0</v>
      </c>
      <c r="J11" s="130">
        <f t="shared" si="3"/>
        <v>50</v>
      </c>
      <c r="K11" s="130">
        <f t="shared" si="4"/>
        <v>0</v>
      </c>
      <c r="L11" s="130">
        <f t="shared" si="5"/>
        <v>-50</v>
      </c>
      <c r="M11" s="50"/>
      <c r="N11" s="199" t="s">
        <v>42</v>
      </c>
      <c r="O11" s="200">
        <v>50.0</v>
      </c>
      <c r="P11" s="201">
        <f t="shared" si="6"/>
        <v>0</v>
      </c>
      <c r="Q11" s="52"/>
      <c r="R11" s="50"/>
      <c r="S11" s="195"/>
      <c r="T11" s="195"/>
      <c r="U11" s="195"/>
    </row>
    <row r="12">
      <c r="A12" s="142" t="s">
        <v>39</v>
      </c>
      <c r="B12" s="196">
        <v>0.0</v>
      </c>
      <c r="C12" s="130">
        <f t="shared" si="1"/>
        <v>0</v>
      </c>
      <c r="D12" s="197">
        <v>0.0</v>
      </c>
      <c r="E12" s="197">
        <v>0.0</v>
      </c>
      <c r="F12" s="197">
        <v>0.0</v>
      </c>
      <c r="G12" s="197">
        <v>0.0</v>
      </c>
      <c r="H12" s="197">
        <v>0.0</v>
      </c>
      <c r="I12" s="145">
        <f t="shared" si="8"/>
        <v>0</v>
      </c>
      <c r="J12" s="130">
        <f t="shared" si="3"/>
        <v>50</v>
      </c>
      <c r="K12" s="130">
        <f t="shared" si="4"/>
        <v>0</v>
      </c>
      <c r="L12" s="130">
        <f t="shared" si="5"/>
        <v>-50</v>
      </c>
      <c r="M12" s="50"/>
      <c r="N12" s="199" t="s">
        <v>39</v>
      </c>
      <c r="O12" s="200">
        <v>50.0</v>
      </c>
      <c r="P12" s="201">
        <f t="shared" si="6"/>
        <v>0</v>
      </c>
      <c r="Q12" s="52"/>
      <c r="R12" s="50"/>
      <c r="S12" s="195"/>
      <c r="T12" s="195"/>
      <c r="U12" s="195"/>
    </row>
    <row r="13">
      <c r="A13" s="142" t="s">
        <v>30</v>
      </c>
      <c r="B13" s="196">
        <v>2.0</v>
      </c>
      <c r="C13" s="130">
        <f t="shared" si="1"/>
        <v>20</v>
      </c>
      <c r="D13" s="197">
        <v>0.0</v>
      </c>
      <c r="E13" s="197">
        <v>0.0</v>
      </c>
      <c r="F13" s="197">
        <v>0.0</v>
      </c>
      <c r="G13" s="197">
        <v>0.0</v>
      </c>
      <c r="H13" s="197">
        <v>0.0</v>
      </c>
      <c r="I13" s="145">
        <f t="shared" si="8"/>
        <v>0</v>
      </c>
      <c r="J13" s="130">
        <f t="shared" si="3"/>
        <v>50</v>
      </c>
      <c r="K13" s="130">
        <f t="shared" si="4"/>
        <v>0</v>
      </c>
      <c r="L13" s="130">
        <f t="shared" si="5"/>
        <v>-50</v>
      </c>
      <c r="M13" s="50"/>
      <c r="N13" s="199" t="s">
        <v>30</v>
      </c>
      <c r="O13" s="200">
        <v>50.0</v>
      </c>
      <c r="P13" s="201">
        <f t="shared" si="6"/>
        <v>0</v>
      </c>
      <c r="Q13" s="52"/>
      <c r="R13" s="50"/>
      <c r="S13" s="195"/>
      <c r="T13" s="195"/>
      <c r="U13" s="195"/>
    </row>
    <row r="14">
      <c r="A14" s="50"/>
      <c r="B14" s="50"/>
      <c r="C14" s="152">
        <f t="shared" ref="C14:J14" si="9">SUM(C2:C13)</f>
        <v>140</v>
      </c>
      <c r="D14" s="152">
        <f t="shared" si="9"/>
        <v>17.71</v>
      </c>
      <c r="E14" s="152">
        <f t="shared" si="9"/>
        <v>25</v>
      </c>
      <c r="F14" s="152">
        <f t="shared" si="9"/>
        <v>50</v>
      </c>
      <c r="G14" s="152">
        <f t="shared" si="9"/>
        <v>100</v>
      </c>
      <c r="H14" s="152">
        <f t="shared" si="9"/>
        <v>267</v>
      </c>
      <c r="I14" s="152">
        <f t="shared" si="9"/>
        <v>614.71</v>
      </c>
      <c r="J14" s="153">
        <f t="shared" si="9"/>
        <v>600</v>
      </c>
      <c r="K14" s="152">
        <f>sum(K2:K13)</f>
        <v>0</v>
      </c>
      <c r="L14" s="152">
        <f>SUM(L2:L13)</f>
        <v>14.71</v>
      </c>
      <c r="M14" s="50"/>
      <c r="N14" s="205" t="s">
        <v>66</v>
      </c>
      <c r="O14" s="206">
        <f t="shared" ref="O14:P14" si="10">SUM(O2:O13)</f>
        <v>600</v>
      </c>
      <c r="P14" s="156">
        <f t="shared" si="10"/>
        <v>0</v>
      </c>
      <c r="Q14" s="52"/>
      <c r="R14" s="50"/>
      <c r="S14" s="195"/>
      <c r="T14" s="195"/>
      <c r="U14" s="195"/>
    </row>
    <row r="15">
      <c r="A15" s="50"/>
      <c r="B15" s="50"/>
      <c r="C15" s="50"/>
      <c r="D15" s="50"/>
      <c r="E15" s="50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</row>
    <row r="16">
      <c r="A16" s="207" t="s">
        <v>118</v>
      </c>
      <c r="B16" s="158" t="s">
        <v>0</v>
      </c>
      <c r="C16" s="158" t="s">
        <v>119</v>
      </c>
      <c r="D16" s="158" t="s">
        <v>114</v>
      </c>
      <c r="E16" s="158" t="s">
        <v>120</v>
      </c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</row>
    <row r="17">
      <c r="A17" s="159" t="s">
        <v>121</v>
      </c>
      <c r="B17" s="208" t="s">
        <v>46</v>
      </c>
      <c r="C17" s="161">
        <v>10.0</v>
      </c>
      <c r="D17" s="209" t="s">
        <v>122</v>
      </c>
      <c r="E17" s="210">
        <v>195.99</v>
      </c>
      <c r="F17" s="52"/>
      <c r="G17" s="52"/>
      <c r="H17" s="52"/>
      <c r="I17" s="52"/>
      <c r="J17" s="52"/>
      <c r="K17" s="68"/>
      <c r="L17" s="164" t="s">
        <v>123</v>
      </c>
      <c r="M17" s="164" t="s">
        <v>124</v>
      </c>
      <c r="N17" s="164" t="s">
        <v>125</v>
      </c>
      <c r="O17" s="164" t="s">
        <v>126</v>
      </c>
      <c r="P17" s="164" t="s">
        <v>127</v>
      </c>
      <c r="Q17" s="164" t="s">
        <v>128</v>
      </c>
      <c r="R17" s="164" t="s">
        <v>129</v>
      </c>
      <c r="S17" s="164" t="s">
        <v>130</v>
      </c>
      <c r="T17" s="164" t="s">
        <v>131</v>
      </c>
      <c r="U17" s="52"/>
    </row>
    <row r="18">
      <c r="A18" s="159" t="s">
        <v>132</v>
      </c>
      <c r="B18" s="208" t="s">
        <v>34</v>
      </c>
      <c r="C18" s="161">
        <v>10.0</v>
      </c>
      <c r="D18" s="209" t="s">
        <v>122</v>
      </c>
      <c r="E18" s="210">
        <v>169.54</v>
      </c>
      <c r="F18" s="52"/>
      <c r="G18" s="52"/>
      <c r="H18" s="52"/>
      <c r="I18" s="52"/>
      <c r="J18" s="52"/>
      <c r="K18" s="68"/>
      <c r="L18" s="165">
        <v>1.0</v>
      </c>
      <c r="M18" s="211" t="s">
        <v>158</v>
      </c>
      <c r="N18" s="212">
        <v>10.0</v>
      </c>
      <c r="O18" s="212">
        <v>4.0</v>
      </c>
      <c r="P18" s="165">
        <v>0.0</v>
      </c>
      <c r="Q18" s="213">
        <v>0.0</v>
      </c>
      <c r="R18" s="214">
        <v>2199.72</v>
      </c>
      <c r="S18" s="214">
        <v>1931.24</v>
      </c>
      <c r="T18" s="165">
        <f>R24-R18</f>
        <v>-332.17</v>
      </c>
      <c r="U18" s="52"/>
    </row>
    <row r="19">
      <c r="A19" s="159" t="s">
        <v>134</v>
      </c>
      <c r="B19" s="208" t="s">
        <v>38</v>
      </c>
      <c r="C19" s="161">
        <v>10.0</v>
      </c>
      <c r="D19" s="209" t="s">
        <v>122</v>
      </c>
      <c r="E19" s="210">
        <v>239.36</v>
      </c>
      <c r="F19" s="52"/>
      <c r="G19" s="52"/>
      <c r="H19" s="52"/>
      <c r="I19" s="52"/>
      <c r="J19" s="52"/>
      <c r="K19" s="215">
        <v>4.02</v>
      </c>
      <c r="L19" s="165">
        <v>2.0</v>
      </c>
      <c r="M19" s="211" t="s">
        <v>141</v>
      </c>
      <c r="N19" s="212">
        <v>10.0</v>
      </c>
      <c r="O19" s="212">
        <v>4.0</v>
      </c>
      <c r="P19" s="165">
        <v>0.0</v>
      </c>
      <c r="Q19" s="213">
        <v>0.0</v>
      </c>
      <c r="R19" s="214">
        <v>2199.82</v>
      </c>
      <c r="S19" s="214">
        <v>1945.91</v>
      </c>
      <c r="T19" s="165">
        <f>R23-R19</f>
        <v>-154.5</v>
      </c>
      <c r="U19" s="52"/>
    </row>
    <row r="20">
      <c r="A20" s="159" t="s">
        <v>136</v>
      </c>
      <c r="B20" s="208" t="s">
        <v>38</v>
      </c>
      <c r="C20" s="161">
        <v>10.0</v>
      </c>
      <c r="D20" s="209" t="s">
        <v>122</v>
      </c>
      <c r="E20" s="210">
        <v>179.09</v>
      </c>
      <c r="F20" s="216"/>
      <c r="G20" s="52"/>
      <c r="H20" s="52"/>
      <c r="I20" s="52"/>
      <c r="J20" s="52"/>
      <c r="K20" s="68"/>
      <c r="L20" s="165">
        <v>3.0</v>
      </c>
      <c r="M20" s="211" t="s">
        <v>155</v>
      </c>
      <c r="N20" s="212">
        <v>8.0</v>
      </c>
      <c r="O20" s="212">
        <v>6.0</v>
      </c>
      <c r="P20" s="165">
        <v>0.0</v>
      </c>
      <c r="Q20" s="213">
        <v>2.0</v>
      </c>
      <c r="R20" s="214">
        <v>2099.72</v>
      </c>
      <c r="S20" s="214">
        <v>1971.26</v>
      </c>
      <c r="T20" s="165">
        <f>R23-R20</f>
        <v>-54.4</v>
      </c>
      <c r="U20" s="52"/>
    </row>
    <row r="21">
      <c r="A21" s="159" t="s">
        <v>138</v>
      </c>
      <c r="B21" s="208" t="s">
        <v>38</v>
      </c>
      <c r="C21" s="161">
        <v>10.0</v>
      </c>
      <c r="D21" s="209" t="s">
        <v>122</v>
      </c>
      <c r="E21" s="210">
        <v>177.08</v>
      </c>
      <c r="F21" s="52"/>
      <c r="G21" s="52"/>
      <c r="H21" s="52"/>
      <c r="I21" s="52"/>
      <c r="J21" s="52"/>
      <c r="K21" s="68"/>
      <c r="L21" s="165">
        <v>4.0</v>
      </c>
      <c r="M21" s="211" t="s">
        <v>147</v>
      </c>
      <c r="N21" s="212">
        <v>8.0</v>
      </c>
      <c r="O21" s="212">
        <v>6.0</v>
      </c>
      <c r="P21" s="165">
        <v>0.0</v>
      </c>
      <c r="Q21" s="213">
        <v>2.0</v>
      </c>
      <c r="R21" s="214">
        <v>2095.25</v>
      </c>
      <c r="S21" s="214">
        <v>1905.19</v>
      </c>
      <c r="T21" s="165">
        <f>R23-R21</f>
        <v>-49.93</v>
      </c>
      <c r="U21" s="52"/>
    </row>
    <row r="22">
      <c r="A22" s="159" t="s">
        <v>140</v>
      </c>
      <c r="B22" s="217" t="s">
        <v>46</v>
      </c>
      <c r="C22" s="218">
        <v>10.0</v>
      </c>
      <c r="D22" s="209" t="s">
        <v>122</v>
      </c>
      <c r="E22" s="210">
        <v>179.32</v>
      </c>
      <c r="F22" s="216"/>
      <c r="G22" s="52"/>
      <c r="H22" s="52"/>
      <c r="I22" s="52"/>
      <c r="J22" s="50"/>
      <c r="K22" s="68"/>
      <c r="L22" s="165">
        <v>5.0</v>
      </c>
      <c r="M22" s="211" t="s">
        <v>159</v>
      </c>
      <c r="N22" s="212">
        <v>8.0</v>
      </c>
      <c r="O22" s="212">
        <v>6.0</v>
      </c>
      <c r="P22" s="165">
        <v>0.0</v>
      </c>
      <c r="Q22" s="213">
        <v>3.0</v>
      </c>
      <c r="R22" s="214">
        <v>2050.91</v>
      </c>
      <c r="S22" s="214">
        <v>2150.42</v>
      </c>
      <c r="T22" s="165">
        <f>R23-R22</f>
        <v>-5.59</v>
      </c>
      <c r="U22" s="52"/>
    </row>
    <row r="23">
      <c r="A23" s="159" t="s">
        <v>142</v>
      </c>
      <c r="B23" s="208" t="s">
        <v>31</v>
      </c>
      <c r="C23" s="161">
        <v>10.0</v>
      </c>
      <c r="D23" s="209">
        <v>1.0</v>
      </c>
      <c r="E23" s="210">
        <v>165.89</v>
      </c>
      <c r="F23" s="52"/>
      <c r="G23" s="52"/>
      <c r="H23" s="52"/>
      <c r="I23" s="52"/>
      <c r="J23" s="50"/>
      <c r="K23" s="68"/>
      <c r="L23" s="165">
        <v>6.0</v>
      </c>
      <c r="M23" s="211" t="s">
        <v>153</v>
      </c>
      <c r="N23" s="212">
        <v>7.0</v>
      </c>
      <c r="O23" s="212">
        <v>7.0</v>
      </c>
      <c r="P23" s="165">
        <v>0.0</v>
      </c>
      <c r="Q23" s="213">
        <v>3.0</v>
      </c>
      <c r="R23" s="214">
        <v>2045.32</v>
      </c>
      <c r="S23" s="214">
        <v>1973.03</v>
      </c>
      <c r="T23" s="165">
        <f>R23-R23</f>
        <v>0</v>
      </c>
      <c r="U23" s="52"/>
    </row>
    <row r="24">
      <c r="A24" s="159" t="s">
        <v>144</v>
      </c>
      <c r="B24" s="208" t="s">
        <v>32</v>
      </c>
      <c r="C24" s="161">
        <v>10.0</v>
      </c>
      <c r="D24" s="209" t="s">
        <v>122</v>
      </c>
      <c r="E24" s="210">
        <v>192.56</v>
      </c>
      <c r="F24" s="216"/>
      <c r="G24" s="52"/>
      <c r="H24" s="52"/>
      <c r="I24" s="52"/>
      <c r="J24" s="50"/>
      <c r="K24" s="68"/>
      <c r="L24" s="171">
        <v>7.0</v>
      </c>
      <c r="M24" s="219" t="s">
        <v>149</v>
      </c>
      <c r="N24" s="220">
        <v>8.0</v>
      </c>
      <c r="O24" s="220">
        <v>6.0</v>
      </c>
      <c r="P24" s="171">
        <v>0.0</v>
      </c>
      <c r="Q24" s="221">
        <v>2.0</v>
      </c>
      <c r="R24" s="220">
        <v>1867.55</v>
      </c>
      <c r="S24" s="222">
        <v>1718.37</v>
      </c>
      <c r="T24" s="171">
        <f>R23-R24</f>
        <v>177.77</v>
      </c>
      <c r="U24" s="52"/>
    </row>
    <row r="25">
      <c r="A25" s="159" t="s">
        <v>146</v>
      </c>
      <c r="B25" s="208" t="s">
        <v>34</v>
      </c>
      <c r="C25" s="161">
        <v>10.0</v>
      </c>
      <c r="D25" s="209" t="s">
        <v>122</v>
      </c>
      <c r="E25" s="210">
        <v>189.52</v>
      </c>
      <c r="F25" s="52"/>
      <c r="G25" s="52"/>
      <c r="H25" s="52"/>
      <c r="I25" s="52"/>
      <c r="J25" s="50"/>
      <c r="K25" s="68"/>
      <c r="L25" s="171">
        <v>8.0</v>
      </c>
      <c r="M25" s="219" t="s">
        <v>160</v>
      </c>
      <c r="N25" s="220">
        <v>8.0</v>
      </c>
      <c r="O25" s="220">
        <v>6.0</v>
      </c>
      <c r="P25" s="171">
        <v>0.0</v>
      </c>
      <c r="Q25" s="221">
        <v>2.0</v>
      </c>
      <c r="R25" s="220">
        <v>1855.81</v>
      </c>
      <c r="S25" s="220">
        <v>1863.36</v>
      </c>
      <c r="T25" s="171">
        <f>R23-R25</f>
        <v>189.51</v>
      </c>
      <c r="U25" s="52"/>
    </row>
    <row r="26">
      <c r="A26" s="159" t="s">
        <v>148</v>
      </c>
      <c r="B26" s="208" t="s">
        <v>30</v>
      </c>
      <c r="C26" s="161">
        <v>10.0</v>
      </c>
      <c r="D26" s="209" t="s">
        <v>122</v>
      </c>
      <c r="E26" s="210">
        <v>177.41</v>
      </c>
      <c r="F26" s="52"/>
      <c r="G26" s="52"/>
      <c r="H26" s="52"/>
      <c r="I26" s="52"/>
      <c r="J26" s="50"/>
      <c r="K26" s="68"/>
      <c r="L26" s="171">
        <v>9.0</v>
      </c>
      <c r="M26" s="219" t="s">
        <v>161</v>
      </c>
      <c r="N26" s="220">
        <v>4.0</v>
      </c>
      <c r="O26" s="220">
        <v>10.0</v>
      </c>
      <c r="P26" s="171">
        <v>0.0</v>
      </c>
      <c r="Q26" s="221">
        <v>6.0</v>
      </c>
      <c r="R26" s="222">
        <v>1823.8</v>
      </c>
      <c r="S26" s="222">
        <v>1989.17</v>
      </c>
      <c r="T26" s="171">
        <f>R23-R26</f>
        <v>221.52</v>
      </c>
      <c r="U26" s="52"/>
    </row>
    <row r="27">
      <c r="A27" s="159" t="s">
        <v>150</v>
      </c>
      <c r="B27" s="208" t="s">
        <v>30</v>
      </c>
      <c r="C27" s="161">
        <v>10.0</v>
      </c>
      <c r="D27" s="209" t="s">
        <v>122</v>
      </c>
      <c r="E27" s="210">
        <v>208.05</v>
      </c>
      <c r="F27" s="138"/>
      <c r="G27" s="52"/>
      <c r="H27" s="52"/>
      <c r="I27" s="52"/>
      <c r="J27" s="50"/>
      <c r="K27" s="68"/>
      <c r="L27" s="171">
        <v>10.0</v>
      </c>
      <c r="M27" s="219" t="s">
        <v>151</v>
      </c>
      <c r="N27" s="220">
        <v>5.0</v>
      </c>
      <c r="O27" s="220">
        <v>9.0</v>
      </c>
      <c r="P27" s="171">
        <v>0.0</v>
      </c>
      <c r="Q27" s="221">
        <v>5.0</v>
      </c>
      <c r="R27" s="220">
        <v>1663.22</v>
      </c>
      <c r="S27" s="220">
        <v>1837.34</v>
      </c>
      <c r="T27" s="171">
        <f>R23-R27</f>
        <v>382.1</v>
      </c>
      <c r="U27" s="52"/>
    </row>
    <row r="28">
      <c r="A28" s="159" t="s">
        <v>152</v>
      </c>
      <c r="B28" s="208" t="s">
        <v>31</v>
      </c>
      <c r="C28" s="161">
        <v>10.0</v>
      </c>
      <c r="D28" s="209" t="s">
        <v>122</v>
      </c>
      <c r="E28" s="210">
        <v>182.23</v>
      </c>
      <c r="F28" s="216"/>
      <c r="G28" s="52"/>
      <c r="H28" s="52"/>
      <c r="I28" s="52"/>
      <c r="J28" s="50"/>
      <c r="K28" s="68"/>
      <c r="L28" s="175">
        <v>11.0</v>
      </c>
      <c r="M28" s="219" t="s">
        <v>143</v>
      </c>
      <c r="N28" s="210">
        <v>6.0</v>
      </c>
      <c r="O28" s="210">
        <v>8.0</v>
      </c>
      <c r="P28" s="175">
        <v>0.0</v>
      </c>
      <c r="Q28" s="221">
        <v>4.0</v>
      </c>
      <c r="R28" s="210">
        <v>1640.33</v>
      </c>
      <c r="S28" s="223">
        <v>1768.11</v>
      </c>
      <c r="T28" s="171">
        <f>R23-R28</f>
        <v>404.99</v>
      </c>
      <c r="U28" s="52"/>
    </row>
    <row r="29">
      <c r="A29" s="159" t="s">
        <v>154</v>
      </c>
      <c r="B29" s="208" t="s">
        <v>31</v>
      </c>
      <c r="C29" s="161">
        <v>10.0</v>
      </c>
      <c r="D29" s="209" t="s">
        <v>122</v>
      </c>
      <c r="E29" s="210">
        <v>167.2</v>
      </c>
      <c r="F29" s="52"/>
      <c r="G29" s="52"/>
      <c r="H29" s="52"/>
      <c r="I29" s="52"/>
      <c r="J29" s="50"/>
      <c r="K29" s="68"/>
      <c r="L29" s="175">
        <v>12.0</v>
      </c>
      <c r="M29" s="219" t="s">
        <v>145</v>
      </c>
      <c r="N29" s="220">
        <v>2.0</v>
      </c>
      <c r="O29" s="220">
        <v>12.0</v>
      </c>
      <c r="P29" s="171">
        <v>0.0</v>
      </c>
      <c r="Q29" s="221">
        <v>8.0</v>
      </c>
      <c r="R29" s="220">
        <v>1636.06</v>
      </c>
      <c r="S29" s="220">
        <v>2044.01</v>
      </c>
      <c r="T29" s="171">
        <f>R23-R29</f>
        <v>409.26</v>
      </c>
      <c r="U29" s="52"/>
    </row>
    <row r="30">
      <c r="A30" s="176" t="s">
        <v>156</v>
      </c>
      <c r="B30" s="224" t="s">
        <v>34</v>
      </c>
      <c r="C30" s="178">
        <v>10.0</v>
      </c>
      <c r="D30" s="225" t="s">
        <v>122</v>
      </c>
      <c r="E30" s="226">
        <v>204.63</v>
      </c>
      <c r="F30" s="52"/>
      <c r="G30" s="52"/>
      <c r="H30" s="52"/>
      <c r="I30" s="52"/>
      <c r="J30" s="50"/>
      <c r="K30" s="68"/>
      <c r="L30" s="68"/>
      <c r="M30" s="68"/>
      <c r="N30" s="68"/>
      <c r="O30" s="68"/>
      <c r="P30" s="68"/>
      <c r="Q30" s="68"/>
      <c r="R30" s="68"/>
      <c r="S30" s="68"/>
      <c r="T30" s="52"/>
      <c r="U30" s="52"/>
    </row>
    <row r="31">
      <c r="A31" s="227" t="s">
        <v>75</v>
      </c>
      <c r="B31" s="228" t="s">
        <v>31</v>
      </c>
      <c r="C31" s="229">
        <v>17.71</v>
      </c>
      <c r="D31" s="230" t="s">
        <v>122</v>
      </c>
      <c r="E31" s="231"/>
      <c r="F31" s="52"/>
      <c r="G31" s="52"/>
      <c r="H31" s="52"/>
      <c r="I31" s="52"/>
      <c r="J31" s="50"/>
      <c r="K31" s="68"/>
      <c r="L31" s="68"/>
      <c r="M31" s="68"/>
      <c r="N31" s="68"/>
      <c r="O31" s="68"/>
      <c r="P31" s="68"/>
      <c r="Q31" s="68"/>
      <c r="R31" s="68"/>
      <c r="S31" s="68"/>
      <c r="T31" s="52"/>
      <c r="U31" s="52"/>
    </row>
    <row r="32">
      <c r="A32" s="159" t="s">
        <v>76</v>
      </c>
      <c r="B32" s="208" t="s">
        <v>46</v>
      </c>
      <c r="C32" s="161">
        <v>25.0</v>
      </c>
      <c r="D32" s="209" t="s">
        <v>122</v>
      </c>
      <c r="E32" s="232">
        <v>131.21</v>
      </c>
      <c r="F32" s="138"/>
      <c r="G32" s="52"/>
      <c r="H32" s="187"/>
      <c r="I32" s="52"/>
      <c r="J32" s="50"/>
      <c r="K32" s="68"/>
      <c r="L32" s="68"/>
      <c r="M32" s="68"/>
      <c r="N32" s="68"/>
      <c r="O32" s="68"/>
      <c r="P32" s="68"/>
      <c r="Q32" s="68"/>
      <c r="R32" s="68"/>
      <c r="S32" s="68"/>
      <c r="T32" s="52"/>
      <c r="U32" s="52"/>
    </row>
    <row r="33">
      <c r="A33" s="159" t="s">
        <v>77</v>
      </c>
      <c r="B33" s="208" t="s">
        <v>45</v>
      </c>
      <c r="C33" s="161">
        <v>50.0</v>
      </c>
      <c r="D33" s="209" t="s">
        <v>122</v>
      </c>
      <c r="E33" s="210">
        <v>152.26</v>
      </c>
      <c r="F33" s="52"/>
      <c r="G33" s="52"/>
      <c r="H33" s="52"/>
      <c r="I33" s="52"/>
      <c r="J33" s="50"/>
      <c r="K33" s="68"/>
      <c r="L33" s="68"/>
      <c r="M33" s="68"/>
      <c r="N33" s="68"/>
      <c r="O33" s="68"/>
      <c r="P33" s="68"/>
      <c r="Q33" s="68"/>
      <c r="R33" s="68"/>
      <c r="S33" s="68"/>
      <c r="T33" s="52"/>
      <c r="U33" s="52"/>
    </row>
    <row r="34">
      <c r="A34" s="159" t="s">
        <v>78</v>
      </c>
      <c r="B34" s="208" t="s">
        <v>38</v>
      </c>
      <c r="C34" s="161">
        <v>100.0</v>
      </c>
      <c r="D34" s="209" t="s">
        <v>122</v>
      </c>
      <c r="E34" s="210">
        <v>154.58</v>
      </c>
      <c r="F34" s="216"/>
      <c r="G34" s="52"/>
      <c r="H34" s="52"/>
      <c r="I34" s="52"/>
      <c r="J34" s="50"/>
      <c r="K34" s="68"/>
      <c r="L34" s="68"/>
      <c r="M34" s="68"/>
      <c r="N34" s="68"/>
      <c r="O34" s="68"/>
      <c r="P34" s="68"/>
      <c r="Q34" s="68"/>
      <c r="R34" s="68"/>
      <c r="S34" s="68"/>
      <c r="T34" s="52"/>
      <c r="U34" s="52"/>
    </row>
    <row r="35">
      <c r="A35" s="159" t="s">
        <v>79</v>
      </c>
      <c r="B35" s="208" t="s">
        <v>31</v>
      </c>
      <c r="C35" s="233">
        <v>267.0</v>
      </c>
      <c r="D35" s="209" t="s">
        <v>122</v>
      </c>
      <c r="E35" s="210">
        <v>185.57</v>
      </c>
      <c r="F35" s="216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</row>
    <row r="36">
      <c r="A36" s="188" t="s">
        <v>66</v>
      </c>
      <c r="B36" s="136"/>
      <c r="C36" s="189">
        <f>SUM(C17:C35)</f>
        <v>599.71</v>
      </c>
      <c r="D36" s="50"/>
      <c r="E36" s="50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</row>
    <row r="37">
      <c r="A37" s="234"/>
      <c r="B37" s="191"/>
      <c r="C37" s="192"/>
      <c r="D37" s="50"/>
      <c r="E37" s="50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</row>
    <row r="38">
      <c r="A38" s="11" t="s">
        <v>157</v>
      </c>
    </row>
  </sheetData>
  <mergeCells count="2">
    <mergeCell ref="A36:B36"/>
    <mergeCell ref="A37:B3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7.13"/>
    <col customWidth="1" min="3" max="3" width="8.88"/>
    <col customWidth="1" min="4" max="5" width="8.75"/>
    <col customWidth="1" min="6" max="6" width="7.25"/>
    <col customWidth="1" min="7" max="7" width="6.13"/>
    <col customWidth="1" min="8" max="8" width="8.25"/>
    <col customWidth="1" min="9" max="9" width="7.88"/>
    <col customWidth="1" min="10" max="10" width="8.38"/>
    <col customWidth="1" min="11" max="11" width="9.25"/>
    <col customWidth="1" min="12" max="12" width="10.13"/>
    <col customWidth="1" min="13" max="13" width="11.75"/>
    <col customWidth="1" min="14" max="14" width="7.38"/>
    <col customWidth="1" min="15" max="15" width="7.0"/>
    <col customWidth="1" min="16" max="16" width="7.13"/>
    <col customWidth="1" min="17" max="17" width="7.38"/>
    <col customWidth="1" min="18" max="19" width="6.5"/>
    <col customWidth="1" min="20" max="20" width="9.0"/>
  </cols>
  <sheetData>
    <row r="1">
      <c r="A1" s="139" t="s">
        <v>0</v>
      </c>
      <c r="B1" s="140" t="s">
        <v>108</v>
      </c>
      <c r="C1" s="140" t="s">
        <v>108</v>
      </c>
      <c r="D1" s="193" t="s">
        <v>75</v>
      </c>
      <c r="E1" s="140" t="s">
        <v>76</v>
      </c>
      <c r="F1" s="140" t="s">
        <v>77</v>
      </c>
      <c r="G1" s="140" t="s">
        <v>78</v>
      </c>
      <c r="H1" s="140" t="s">
        <v>109</v>
      </c>
      <c r="I1" s="140" t="s">
        <v>110</v>
      </c>
      <c r="J1" s="140" t="s">
        <v>111</v>
      </c>
      <c r="K1" s="193" t="s">
        <v>112</v>
      </c>
      <c r="L1" s="140" t="s">
        <v>113</v>
      </c>
      <c r="M1" s="50"/>
      <c r="N1" s="194" t="s">
        <v>67</v>
      </c>
      <c r="O1" s="194" t="s">
        <v>114</v>
      </c>
      <c r="P1" s="194" t="s">
        <v>115</v>
      </c>
      <c r="Q1" s="52"/>
      <c r="R1" s="50"/>
      <c r="S1" s="195"/>
      <c r="T1" s="195"/>
      <c r="U1" s="195"/>
    </row>
    <row r="2">
      <c r="A2" s="142" t="s">
        <v>46</v>
      </c>
      <c r="B2" s="196">
        <v>1.0</v>
      </c>
      <c r="C2" s="130">
        <f t="shared" ref="C2:C13" si="1">10*B2</f>
        <v>10</v>
      </c>
      <c r="D2" s="197">
        <v>0.0</v>
      </c>
      <c r="E2" s="197">
        <v>0.0</v>
      </c>
      <c r="F2" s="197">
        <v>0.0</v>
      </c>
      <c r="G2" s="198">
        <v>0.0</v>
      </c>
      <c r="H2" s="197">
        <v>0.0</v>
      </c>
      <c r="I2" s="145">
        <f t="shared" ref="I2:I4" si="2">sum(D2:H2)</f>
        <v>0</v>
      </c>
      <c r="J2" s="130">
        <f t="shared" ref="J2:J13" si="3">O2</f>
        <v>50</v>
      </c>
      <c r="K2" s="130">
        <f t="shared" ref="K2:K13" si="4">J2-50</f>
        <v>0</v>
      </c>
      <c r="L2" s="130">
        <f t="shared" ref="L2:L13" si="5">I2-J2</f>
        <v>-50</v>
      </c>
      <c r="M2" s="50"/>
      <c r="N2" s="199" t="s">
        <v>46</v>
      </c>
      <c r="O2" s="200">
        <v>50.0</v>
      </c>
      <c r="P2" s="201">
        <f t="shared" ref="P2:P13" si="6">O2-50</f>
        <v>0</v>
      </c>
      <c r="Q2" s="52"/>
      <c r="R2" s="50"/>
      <c r="S2" s="195"/>
      <c r="T2" s="195"/>
      <c r="U2" s="195"/>
    </row>
    <row r="3">
      <c r="A3" s="142" t="s">
        <v>38</v>
      </c>
      <c r="B3" s="196">
        <v>1.0</v>
      </c>
      <c r="C3" s="130">
        <f t="shared" si="1"/>
        <v>10</v>
      </c>
      <c r="D3" s="197">
        <v>0.0</v>
      </c>
      <c r="E3" s="197">
        <v>25.0</v>
      </c>
      <c r="F3" s="197">
        <v>0.0</v>
      </c>
      <c r="G3" s="197">
        <v>0.0</v>
      </c>
      <c r="H3" s="197">
        <v>0.0</v>
      </c>
      <c r="I3" s="145">
        <f t="shared" si="2"/>
        <v>25</v>
      </c>
      <c r="J3" s="130">
        <f t="shared" si="3"/>
        <v>50</v>
      </c>
      <c r="K3" s="130">
        <f t="shared" si="4"/>
        <v>0</v>
      </c>
      <c r="L3" s="130">
        <f t="shared" si="5"/>
        <v>-25</v>
      </c>
      <c r="M3" s="134"/>
      <c r="N3" s="199" t="s">
        <v>38</v>
      </c>
      <c r="O3" s="200">
        <v>50.0</v>
      </c>
      <c r="P3" s="201">
        <f t="shared" si="6"/>
        <v>0</v>
      </c>
      <c r="Q3" s="52"/>
      <c r="R3" s="50"/>
      <c r="S3" s="195"/>
      <c r="T3" s="195"/>
      <c r="U3" s="195"/>
    </row>
    <row r="4">
      <c r="A4" s="142" t="s">
        <v>36</v>
      </c>
      <c r="B4" s="196">
        <v>0.0</v>
      </c>
      <c r="C4" s="130">
        <f t="shared" si="1"/>
        <v>0</v>
      </c>
      <c r="D4" s="197">
        <v>0.0</v>
      </c>
      <c r="E4" s="197">
        <v>0.0</v>
      </c>
      <c r="F4" s="197">
        <v>0.0</v>
      </c>
      <c r="G4" s="197">
        <v>0.0</v>
      </c>
      <c r="H4" s="197">
        <v>0.0</v>
      </c>
      <c r="I4" s="145">
        <f t="shared" si="2"/>
        <v>0</v>
      </c>
      <c r="J4" s="130">
        <f t="shared" si="3"/>
        <v>50</v>
      </c>
      <c r="K4" s="130">
        <f t="shared" si="4"/>
        <v>0</v>
      </c>
      <c r="L4" s="130">
        <f t="shared" si="5"/>
        <v>-50</v>
      </c>
      <c r="M4" s="50"/>
      <c r="N4" s="199" t="s">
        <v>36</v>
      </c>
      <c r="O4" s="200">
        <v>50.0</v>
      </c>
      <c r="P4" s="201">
        <f t="shared" si="6"/>
        <v>0</v>
      </c>
      <c r="Q4" s="52"/>
      <c r="R4" s="50"/>
      <c r="S4" s="195"/>
      <c r="T4" s="195"/>
      <c r="U4" s="195"/>
    </row>
    <row r="5">
      <c r="A5" s="202" t="s">
        <v>45</v>
      </c>
      <c r="B5" s="196">
        <v>1.0</v>
      </c>
      <c r="C5" s="130">
        <f t="shared" si="1"/>
        <v>10</v>
      </c>
      <c r="D5" s="197">
        <v>0.0</v>
      </c>
      <c r="E5" s="197">
        <v>0.0</v>
      </c>
      <c r="F5" s="197">
        <v>0.0</v>
      </c>
      <c r="G5" s="197">
        <v>0.0</v>
      </c>
      <c r="H5" s="197">
        <v>205.0</v>
      </c>
      <c r="I5" s="203">
        <v>0.0</v>
      </c>
      <c r="J5" s="130">
        <f t="shared" si="3"/>
        <v>50</v>
      </c>
      <c r="K5" s="130">
        <f t="shared" si="4"/>
        <v>0</v>
      </c>
      <c r="L5" s="130">
        <f t="shared" si="5"/>
        <v>-50</v>
      </c>
      <c r="M5" s="50"/>
      <c r="N5" s="204" t="s">
        <v>45</v>
      </c>
      <c r="O5" s="200">
        <v>50.0</v>
      </c>
      <c r="P5" s="201">
        <f t="shared" si="6"/>
        <v>0</v>
      </c>
      <c r="Q5" s="52"/>
      <c r="R5" s="50"/>
      <c r="S5" s="195"/>
      <c r="T5" s="195"/>
      <c r="U5" s="195"/>
    </row>
    <row r="6">
      <c r="A6" s="202" t="s">
        <v>33</v>
      </c>
      <c r="B6" s="196">
        <v>3.0</v>
      </c>
      <c r="C6" s="130">
        <f t="shared" si="1"/>
        <v>30</v>
      </c>
      <c r="D6" s="197">
        <v>0.0</v>
      </c>
      <c r="E6" s="197">
        <v>0.0</v>
      </c>
      <c r="F6" s="197">
        <v>0.0</v>
      </c>
      <c r="G6" s="197">
        <v>0.0</v>
      </c>
      <c r="H6" s="197">
        <v>0.0</v>
      </c>
      <c r="I6" s="145">
        <f t="shared" ref="I6:I9" si="7">sum(D6:H6)</f>
        <v>0</v>
      </c>
      <c r="J6" s="130">
        <f t="shared" si="3"/>
        <v>30</v>
      </c>
      <c r="K6" s="130">
        <f t="shared" si="4"/>
        <v>-20</v>
      </c>
      <c r="L6" s="130">
        <f t="shared" si="5"/>
        <v>-30</v>
      </c>
      <c r="M6" s="50"/>
      <c r="N6" s="204" t="s">
        <v>33</v>
      </c>
      <c r="O6" s="200">
        <v>30.0</v>
      </c>
      <c r="P6" s="201">
        <f t="shared" si="6"/>
        <v>-20</v>
      </c>
      <c r="Q6" s="52"/>
      <c r="R6" s="50"/>
      <c r="S6" s="195"/>
      <c r="T6" s="195"/>
      <c r="U6" s="195"/>
    </row>
    <row r="7">
      <c r="A7" s="142" t="s">
        <v>31</v>
      </c>
      <c r="B7" s="196">
        <v>5.0</v>
      </c>
      <c r="C7" s="130">
        <f t="shared" si="1"/>
        <v>50</v>
      </c>
      <c r="D7" s="197">
        <v>0.0</v>
      </c>
      <c r="E7" s="197">
        <v>0.0</v>
      </c>
      <c r="F7" s="197">
        <v>50.0</v>
      </c>
      <c r="G7" s="197">
        <v>0.0</v>
      </c>
      <c r="H7" s="197">
        <v>0.0</v>
      </c>
      <c r="I7" s="145">
        <f t="shared" si="7"/>
        <v>50</v>
      </c>
      <c r="J7" s="130">
        <f t="shared" si="3"/>
        <v>50</v>
      </c>
      <c r="K7" s="130">
        <f t="shared" si="4"/>
        <v>0</v>
      </c>
      <c r="L7" s="130">
        <f t="shared" si="5"/>
        <v>0</v>
      </c>
      <c r="M7" s="50"/>
      <c r="N7" s="199" t="s">
        <v>31</v>
      </c>
      <c r="O7" s="200">
        <v>50.0</v>
      </c>
      <c r="P7" s="201">
        <f t="shared" si="6"/>
        <v>0</v>
      </c>
      <c r="Q7" s="52"/>
      <c r="R7" s="50"/>
      <c r="S7" s="195"/>
      <c r="T7" s="195"/>
      <c r="U7" s="195"/>
    </row>
    <row r="8">
      <c r="A8" s="142" t="s">
        <v>35</v>
      </c>
      <c r="B8" s="196">
        <v>1.0</v>
      </c>
      <c r="C8" s="130">
        <f t="shared" si="1"/>
        <v>10</v>
      </c>
      <c r="D8" s="197">
        <v>0.0</v>
      </c>
      <c r="E8" s="197">
        <v>0.0</v>
      </c>
      <c r="F8" s="197">
        <v>0.0</v>
      </c>
      <c r="G8" s="197">
        <v>0.0</v>
      </c>
      <c r="H8" s="197">
        <v>0.0</v>
      </c>
      <c r="I8" s="145">
        <f t="shared" si="7"/>
        <v>0</v>
      </c>
      <c r="J8" s="130">
        <f t="shared" si="3"/>
        <v>50</v>
      </c>
      <c r="K8" s="130">
        <f t="shared" si="4"/>
        <v>0</v>
      </c>
      <c r="L8" s="130">
        <f t="shared" si="5"/>
        <v>-50</v>
      </c>
      <c r="M8" s="50"/>
      <c r="N8" s="199" t="s">
        <v>35</v>
      </c>
      <c r="O8" s="200">
        <v>50.0</v>
      </c>
      <c r="P8" s="201">
        <f t="shared" si="6"/>
        <v>0</v>
      </c>
      <c r="Q8" s="52"/>
      <c r="R8" s="50"/>
      <c r="S8" s="195"/>
      <c r="T8" s="195"/>
      <c r="U8" s="195"/>
    </row>
    <row r="9">
      <c r="A9" s="142" t="s">
        <v>34</v>
      </c>
      <c r="B9" s="196">
        <v>2.0</v>
      </c>
      <c r="C9" s="130">
        <f t="shared" si="1"/>
        <v>20</v>
      </c>
      <c r="D9" s="197">
        <v>0.0</v>
      </c>
      <c r="E9" s="197">
        <v>0.0</v>
      </c>
      <c r="F9" s="197">
        <v>0.0</v>
      </c>
      <c r="G9" s="197">
        <v>100.0</v>
      </c>
      <c r="H9" s="197">
        <v>0.0</v>
      </c>
      <c r="I9" s="145">
        <f t="shared" si="7"/>
        <v>100</v>
      </c>
      <c r="J9" s="130">
        <f t="shared" si="3"/>
        <v>50</v>
      </c>
      <c r="K9" s="130">
        <f t="shared" si="4"/>
        <v>0</v>
      </c>
      <c r="L9" s="130">
        <f t="shared" si="5"/>
        <v>50</v>
      </c>
      <c r="M9" s="50"/>
      <c r="N9" s="199" t="s">
        <v>34</v>
      </c>
      <c r="O9" s="200">
        <v>50.0</v>
      </c>
      <c r="P9" s="201">
        <f t="shared" si="6"/>
        <v>0</v>
      </c>
      <c r="Q9" s="52"/>
      <c r="R9" s="50"/>
      <c r="S9" s="195"/>
      <c r="T9" s="195"/>
      <c r="U9" s="195"/>
    </row>
    <row r="10">
      <c r="A10" s="202" t="s">
        <v>32</v>
      </c>
      <c r="B10" s="196">
        <v>0.0</v>
      </c>
      <c r="C10" s="130">
        <f t="shared" si="1"/>
        <v>0</v>
      </c>
      <c r="D10" s="197">
        <v>80.0</v>
      </c>
      <c r="E10" s="197">
        <v>0.0</v>
      </c>
      <c r="F10" s="197">
        <v>0.0</v>
      </c>
      <c r="G10" s="197">
        <v>0.0</v>
      </c>
      <c r="H10" s="197">
        <v>0.0</v>
      </c>
      <c r="I10" s="203">
        <v>205.0</v>
      </c>
      <c r="J10" s="130">
        <f t="shared" si="3"/>
        <v>50</v>
      </c>
      <c r="K10" s="130">
        <f t="shared" si="4"/>
        <v>0</v>
      </c>
      <c r="L10" s="130">
        <f t="shared" si="5"/>
        <v>155</v>
      </c>
      <c r="M10" s="50"/>
      <c r="N10" s="204" t="s">
        <v>32</v>
      </c>
      <c r="O10" s="200">
        <v>50.0</v>
      </c>
      <c r="P10" s="201">
        <f t="shared" si="6"/>
        <v>0</v>
      </c>
      <c r="Q10" s="52"/>
      <c r="R10" s="50"/>
      <c r="S10" s="195"/>
      <c r="T10" s="195"/>
      <c r="U10" s="195"/>
    </row>
    <row r="11">
      <c r="A11" s="142" t="s">
        <v>42</v>
      </c>
      <c r="B11" s="196">
        <v>0.0</v>
      </c>
      <c r="C11" s="130">
        <f t="shared" si="1"/>
        <v>0</v>
      </c>
      <c r="D11" s="197">
        <v>0.0</v>
      </c>
      <c r="E11" s="197">
        <v>0.0</v>
      </c>
      <c r="F11" s="197">
        <v>0.0</v>
      </c>
      <c r="G11" s="197">
        <v>0.0</v>
      </c>
      <c r="H11" s="197">
        <v>0.0</v>
      </c>
      <c r="I11" s="145">
        <f t="shared" ref="I11:I13" si="8">sum(D11:H11)</f>
        <v>0</v>
      </c>
      <c r="J11" s="130">
        <f t="shared" si="3"/>
        <v>50</v>
      </c>
      <c r="K11" s="130">
        <f t="shared" si="4"/>
        <v>0</v>
      </c>
      <c r="L11" s="130">
        <f t="shared" si="5"/>
        <v>-50</v>
      </c>
      <c r="M11" s="50"/>
      <c r="N11" s="199" t="s">
        <v>42</v>
      </c>
      <c r="O11" s="200">
        <v>50.0</v>
      </c>
      <c r="P11" s="201">
        <f t="shared" si="6"/>
        <v>0</v>
      </c>
      <c r="Q11" s="52"/>
      <c r="R11" s="50"/>
      <c r="S11" s="195"/>
      <c r="T11" s="195"/>
      <c r="U11" s="195"/>
    </row>
    <row r="12">
      <c r="A12" s="142" t="s">
        <v>39</v>
      </c>
      <c r="B12" s="196">
        <v>0.0</v>
      </c>
      <c r="C12" s="130">
        <f t="shared" si="1"/>
        <v>0</v>
      </c>
      <c r="D12" s="197">
        <v>0.0</v>
      </c>
      <c r="E12" s="197">
        <v>0.0</v>
      </c>
      <c r="F12" s="197">
        <v>0.0</v>
      </c>
      <c r="G12" s="197">
        <v>0.0</v>
      </c>
      <c r="H12" s="197">
        <v>0.0</v>
      </c>
      <c r="I12" s="145">
        <f t="shared" si="8"/>
        <v>0</v>
      </c>
      <c r="J12" s="130">
        <f t="shared" si="3"/>
        <v>50</v>
      </c>
      <c r="K12" s="130">
        <f t="shared" si="4"/>
        <v>0</v>
      </c>
      <c r="L12" s="130">
        <f t="shared" si="5"/>
        <v>-50</v>
      </c>
      <c r="M12" s="50"/>
      <c r="N12" s="199" t="s">
        <v>39</v>
      </c>
      <c r="O12" s="200">
        <v>50.0</v>
      </c>
      <c r="P12" s="201">
        <f t="shared" si="6"/>
        <v>0</v>
      </c>
      <c r="Q12" s="52"/>
      <c r="R12" s="50"/>
      <c r="S12" s="195"/>
      <c r="T12" s="195"/>
      <c r="U12" s="195"/>
    </row>
    <row r="13">
      <c r="A13" s="142" t="s">
        <v>30</v>
      </c>
      <c r="B13" s="196">
        <v>0.0</v>
      </c>
      <c r="C13" s="130">
        <f t="shared" si="1"/>
        <v>0</v>
      </c>
      <c r="D13" s="197">
        <v>0.0</v>
      </c>
      <c r="E13" s="197">
        <v>0.0</v>
      </c>
      <c r="F13" s="197">
        <v>0.0</v>
      </c>
      <c r="G13" s="197">
        <v>0.0</v>
      </c>
      <c r="H13" s="197">
        <v>0.0</v>
      </c>
      <c r="I13" s="145">
        <f t="shared" si="8"/>
        <v>0</v>
      </c>
      <c r="J13" s="130">
        <f t="shared" si="3"/>
        <v>50</v>
      </c>
      <c r="K13" s="130">
        <f t="shared" si="4"/>
        <v>0</v>
      </c>
      <c r="L13" s="130">
        <f t="shared" si="5"/>
        <v>-50</v>
      </c>
      <c r="M13" s="50"/>
      <c r="N13" s="199" t="s">
        <v>30</v>
      </c>
      <c r="O13" s="200">
        <v>50.0</v>
      </c>
      <c r="P13" s="201">
        <f t="shared" si="6"/>
        <v>0</v>
      </c>
      <c r="Q13" s="52"/>
      <c r="R13" s="50"/>
      <c r="S13" s="195"/>
      <c r="T13" s="195"/>
      <c r="U13" s="195"/>
    </row>
    <row r="14">
      <c r="A14" s="50"/>
      <c r="B14" s="50"/>
      <c r="C14" s="152">
        <f t="shared" ref="C14:J14" si="9">SUM(C2:C13)</f>
        <v>140</v>
      </c>
      <c r="D14" s="152">
        <f t="shared" si="9"/>
        <v>80</v>
      </c>
      <c r="E14" s="152">
        <f t="shared" si="9"/>
        <v>25</v>
      </c>
      <c r="F14" s="152">
        <f t="shared" si="9"/>
        <v>50</v>
      </c>
      <c r="G14" s="152">
        <f t="shared" si="9"/>
        <v>100</v>
      </c>
      <c r="H14" s="152">
        <f t="shared" si="9"/>
        <v>205</v>
      </c>
      <c r="I14" s="152">
        <f t="shared" si="9"/>
        <v>380</v>
      </c>
      <c r="J14" s="153">
        <f t="shared" si="9"/>
        <v>580</v>
      </c>
      <c r="K14" s="152">
        <f>sum(K2:K13)</f>
        <v>-20</v>
      </c>
      <c r="L14" s="152">
        <f>SUM(L2:L13)</f>
        <v>-200</v>
      </c>
      <c r="M14" s="50"/>
      <c r="N14" s="205" t="s">
        <v>66</v>
      </c>
      <c r="O14" s="206">
        <f t="shared" ref="O14:P14" si="10">SUM(O2:O13)</f>
        <v>580</v>
      </c>
      <c r="P14" s="156">
        <f t="shared" si="10"/>
        <v>-20</v>
      </c>
      <c r="Q14" s="52"/>
      <c r="R14" s="50"/>
      <c r="S14" s="195"/>
      <c r="T14" s="195"/>
      <c r="U14" s="195"/>
    </row>
    <row r="15">
      <c r="A15" s="50"/>
      <c r="B15" s="50"/>
      <c r="C15" s="50"/>
      <c r="D15" s="50"/>
      <c r="E15" s="50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</row>
    <row r="16">
      <c r="A16" s="207" t="s">
        <v>118</v>
      </c>
      <c r="B16" s="158" t="s">
        <v>0</v>
      </c>
      <c r="C16" s="158" t="s">
        <v>119</v>
      </c>
      <c r="D16" s="158" t="s">
        <v>114</v>
      </c>
      <c r="E16" s="158" t="s">
        <v>120</v>
      </c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</row>
    <row r="17">
      <c r="A17" s="159" t="s">
        <v>121</v>
      </c>
      <c r="B17" s="208" t="s">
        <v>34</v>
      </c>
      <c r="C17" s="161">
        <v>10.0</v>
      </c>
      <c r="D17" s="209" t="s">
        <v>122</v>
      </c>
      <c r="E17" s="210">
        <v>171.96</v>
      </c>
      <c r="F17" s="52"/>
      <c r="G17" s="52"/>
      <c r="H17" s="52"/>
      <c r="I17" s="52"/>
      <c r="J17" s="52"/>
      <c r="K17" s="68"/>
      <c r="L17" s="164" t="s">
        <v>123</v>
      </c>
      <c r="M17" s="164" t="s">
        <v>124</v>
      </c>
      <c r="N17" s="164" t="s">
        <v>125</v>
      </c>
      <c r="O17" s="164" t="s">
        <v>126</v>
      </c>
      <c r="P17" s="164" t="s">
        <v>127</v>
      </c>
      <c r="Q17" s="164" t="s">
        <v>128</v>
      </c>
      <c r="R17" s="164" t="s">
        <v>129</v>
      </c>
      <c r="S17" s="164" t="s">
        <v>130</v>
      </c>
      <c r="T17" s="164" t="s">
        <v>131</v>
      </c>
      <c r="U17" s="52"/>
    </row>
    <row r="18">
      <c r="A18" s="159" t="s">
        <v>132</v>
      </c>
      <c r="B18" s="208" t="s">
        <v>162</v>
      </c>
      <c r="C18" s="161">
        <v>10.0</v>
      </c>
      <c r="D18" s="209" t="s">
        <v>122</v>
      </c>
      <c r="E18" s="210">
        <v>176.8</v>
      </c>
      <c r="F18" s="52"/>
      <c r="G18" s="52"/>
      <c r="H18" s="52"/>
      <c r="I18" s="52"/>
      <c r="J18" s="52"/>
      <c r="K18" s="68"/>
      <c r="L18" s="165">
        <v>1.0</v>
      </c>
      <c r="M18" s="211" t="s">
        <v>158</v>
      </c>
      <c r="N18" s="212">
        <v>11.0</v>
      </c>
      <c r="O18" s="212">
        <v>3.0</v>
      </c>
      <c r="P18" s="165">
        <v>0.0</v>
      </c>
      <c r="Q18" s="213">
        <v>0.0</v>
      </c>
      <c r="R18" s="214">
        <v>2177.55</v>
      </c>
      <c r="S18" s="214">
        <v>1737.58</v>
      </c>
      <c r="T18" s="165">
        <f>R24-R18</f>
        <v>-210.86</v>
      </c>
      <c r="U18" s="52"/>
    </row>
    <row r="19">
      <c r="A19" s="159" t="s">
        <v>134</v>
      </c>
      <c r="B19" s="208" t="s">
        <v>162</v>
      </c>
      <c r="C19" s="161">
        <v>10.0</v>
      </c>
      <c r="D19" s="209" t="s">
        <v>122</v>
      </c>
      <c r="E19" s="210">
        <v>191.43</v>
      </c>
      <c r="F19" s="52"/>
      <c r="G19" s="52"/>
      <c r="H19" s="52"/>
      <c r="I19" s="52"/>
      <c r="J19" s="52"/>
      <c r="K19" s="68"/>
      <c r="L19" s="165">
        <v>2.0</v>
      </c>
      <c r="M19" s="211" t="s">
        <v>163</v>
      </c>
      <c r="N19" s="212">
        <v>11.0</v>
      </c>
      <c r="O19" s="212">
        <v>3.0</v>
      </c>
      <c r="P19" s="165">
        <v>0.0</v>
      </c>
      <c r="Q19" s="213">
        <v>0.0</v>
      </c>
      <c r="R19" s="214">
        <v>2167.66</v>
      </c>
      <c r="S19" s="214">
        <v>1803.32</v>
      </c>
      <c r="T19" s="165">
        <f>R23-R19</f>
        <v>-195.07</v>
      </c>
      <c r="U19" s="52"/>
    </row>
    <row r="20">
      <c r="A20" s="159" t="s">
        <v>136</v>
      </c>
      <c r="B20" s="208" t="s">
        <v>33</v>
      </c>
      <c r="C20" s="161">
        <v>10.0</v>
      </c>
      <c r="D20" s="209" t="s">
        <v>122</v>
      </c>
      <c r="E20" s="210">
        <v>169.73</v>
      </c>
      <c r="F20" s="216" t="s">
        <v>164</v>
      </c>
      <c r="G20" s="52"/>
      <c r="H20" s="52"/>
      <c r="I20" s="52"/>
      <c r="J20" s="52"/>
      <c r="K20" s="68"/>
      <c r="L20" s="165">
        <v>3.0</v>
      </c>
      <c r="M20" s="211" t="s">
        <v>165</v>
      </c>
      <c r="N20" s="212">
        <v>10.0</v>
      </c>
      <c r="O20" s="212">
        <v>4.0</v>
      </c>
      <c r="P20" s="165">
        <v>0.0</v>
      </c>
      <c r="Q20" s="213">
        <v>1.0</v>
      </c>
      <c r="R20" s="214">
        <v>2028.79</v>
      </c>
      <c r="S20" s="214">
        <v>1856.1</v>
      </c>
      <c r="T20" s="165">
        <f>R23-R20</f>
        <v>-56.2</v>
      </c>
      <c r="U20" s="52"/>
    </row>
    <row r="21">
      <c r="A21" s="159" t="s">
        <v>138</v>
      </c>
      <c r="B21" s="208" t="s">
        <v>162</v>
      </c>
      <c r="C21" s="161">
        <v>10.0</v>
      </c>
      <c r="D21" s="209" t="s">
        <v>122</v>
      </c>
      <c r="E21" s="210">
        <v>177.46</v>
      </c>
      <c r="F21" s="52"/>
      <c r="G21" s="52"/>
      <c r="H21" s="52"/>
      <c r="I21" s="52"/>
      <c r="J21" s="52"/>
      <c r="K21" s="68"/>
      <c r="L21" s="165">
        <v>4.0</v>
      </c>
      <c r="M21" s="211" t="s">
        <v>166</v>
      </c>
      <c r="N21" s="212">
        <v>8.0</v>
      </c>
      <c r="O21" s="212">
        <v>6.0</v>
      </c>
      <c r="P21" s="165">
        <v>0.0</v>
      </c>
      <c r="Q21" s="213">
        <v>3.0</v>
      </c>
      <c r="R21" s="214">
        <v>1786.33</v>
      </c>
      <c r="S21" s="214">
        <v>1746.43</v>
      </c>
      <c r="T21" s="165">
        <f>R23-R21</f>
        <v>186.26</v>
      </c>
      <c r="U21" s="52"/>
    </row>
    <row r="22">
      <c r="A22" s="159" t="s">
        <v>140</v>
      </c>
      <c r="B22" s="235" t="s">
        <v>46</v>
      </c>
      <c r="C22" s="218">
        <v>10.0</v>
      </c>
      <c r="D22" s="236" t="s">
        <v>122</v>
      </c>
      <c r="E22" s="210">
        <v>180.09</v>
      </c>
      <c r="F22" s="216"/>
      <c r="G22" s="52"/>
      <c r="H22" s="52"/>
      <c r="I22" s="52"/>
      <c r="J22" s="50"/>
      <c r="K22" s="68"/>
      <c r="L22" s="165">
        <v>5.0</v>
      </c>
      <c r="M22" s="211" t="s">
        <v>167</v>
      </c>
      <c r="N22" s="212">
        <v>7.0</v>
      </c>
      <c r="O22" s="212">
        <v>7.0</v>
      </c>
      <c r="P22" s="165">
        <v>0.0</v>
      </c>
      <c r="Q22" s="213">
        <v>4.0</v>
      </c>
      <c r="R22" s="214">
        <v>1984.21</v>
      </c>
      <c r="S22" s="214">
        <v>1885.16</v>
      </c>
      <c r="T22" s="165">
        <f>R23-R22</f>
        <v>-11.62</v>
      </c>
      <c r="U22" s="52"/>
    </row>
    <row r="23">
      <c r="A23" s="159" t="s">
        <v>142</v>
      </c>
      <c r="B23" s="208" t="s">
        <v>168</v>
      </c>
      <c r="C23" s="161">
        <v>10.0</v>
      </c>
      <c r="D23" s="209" t="s">
        <v>122</v>
      </c>
      <c r="E23" s="210">
        <v>152.54</v>
      </c>
      <c r="F23" s="52"/>
      <c r="G23" s="52"/>
      <c r="H23" s="52"/>
      <c r="I23" s="52"/>
      <c r="J23" s="50"/>
      <c r="K23" s="68"/>
      <c r="L23" s="165">
        <v>6.0</v>
      </c>
      <c r="M23" s="211" t="s">
        <v>155</v>
      </c>
      <c r="N23" s="212">
        <v>7.0</v>
      </c>
      <c r="O23" s="212">
        <v>7.0</v>
      </c>
      <c r="P23" s="165">
        <v>0.0</v>
      </c>
      <c r="Q23" s="213">
        <v>4.0</v>
      </c>
      <c r="R23" s="214">
        <v>1972.59</v>
      </c>
      <c r="S23" s="212">
        <v>1943.69</v>
      </c>
      <c r="T23" s="165">
        <f>R23-R23</f>
        <v>0</v>
      </c>
      <c r="U23" s="52"/>
    </row>
    <row r="24">
      <c r="A24" s="159" t="s">
        <v>144</v>
      </c>
      <c r="B24" s="208" t="s">
        <v>33</v>
      </c>
      <c r="C24" s="161">
        <v>10.0</v>
      </c>
      <c r="D24" s="209" t="s">
        <v>122</v>
      </c>
      <c r="E24" s="210">
        <v>171.94</v>
      </c>
      <c r="F24" s="216" t="s">
        <v>164</v>
      </c>
      <c r="G24" s="52"/>
      <c r="H24" s="52"/>
      <c r="I24" s="52"/>
      <c r="J24" s="50"/>
      <c r="K24" s="68"/>
      <c r="L24" s="171">
        <v>7.0</v>
      </c>
      <c r="M24" s="219" t="s">
        <v>147</v>
      </c>
      <c r="N24" s="220">
        <v>7.0</v>
      </c>
      <c r="O24" s="220">
        <v>7.0</v>
      </c>
      <c r="P24" s="171">
        <v>0.0</v>
      </c>
      <c r="Q24" s="221">
        <v>4.0</v>
      </c>
      <c r="R24" s="220">
        <v>1966.69</v>
      </c>
      <c r="S24" s="222">
        <v>1736.27</v>
      </c>
      <c r="T24" s="171">
        <f>R23-R24</f>
        <v>5.9</v>
      </c>
      <c r="U24" s="52"/>
    </row>
    <row r="25">
      <c r="A25" s="159" t="s">
        <v>146</v>
      </c>
      <c r="B25" s="208" t="s">
        <v>35</v>
      </c>
      <c r="C25" s="161">
        <v>10.0</v>
      </c>
      <c r="D25" s="209" t="s">
        <v>122</v>
      </c>
      <c r="E25" s="210">
        <v>157.35</v>
      </c>
      <c r="F25" s="52"/>
      <c r="G25" s="52"/>
      <c r="H25" s="52"/>
      <c r="I25" s="52"/>
      <c r="J25" s="50"/>
      <c r="K25" s="68"/>
      <c r="L25" s="171">
        <v>8.0</v>
      </c>
      <c r="M25" s="219" t="s">
        <v>169</v>
      </c>
      <c r="N25" s="220">
        <v>6.0</v>
      </c>
      <c r="O25" s="220">
        <v>8.0</v>
      </c>
      <c r="P25" s="171">
        <v>0.0</v>
      </c>
      <c r="Q25" s="221">
        <v>5.0</v>
      </c>
      <c r="R25" s="220">
        <v>1817.08</v>
      </c>
      <c r="S25" s="220">
        <v>1978.32</v>
      </c>
      <c r="T25" s="171">
        <f>R23-R25</f>
        <v>155.51</v>
      </c>
      <c r="U25" s="52"/>
    </row>
    <row r="26">
      <c r="A26" s="159" t="s">
        <v>148</v>
      </c>
      <c r="B26" s="208" t="s">
        <v>34</v>
      </c>
      <c r="C26" s="161">
        <v>10.0</v>
      </c>
      <c r="D26" s="209" t="s">
        <v>122</v>
      </c>
      <c r="E26" s="210">
        <v>181.41</v>
      </c>
      <c r="F26" s="52"/>
      <c r="G26" s="52"/>
      <c r="H26" s="52"/>
      <c r="I26" s="52"/>
      <c r="J26" s="50"/>
      <c r="K26" s="68"/>
      <c r="L26" s="171">
        <v>9.0</v>
      </c>
      <c r="M26" s="219" t="s">
        <v>149</v>
      </c>
      <c r="N26" s="220">
        <v>7.0</v>
      </c>
      <c r="O26" s="220">
        <v>7.0</v>
      </c>
      <c r="P26" s="171">
        <v>0.0</v>
      </c>
      <c r="Q26" s="221">
        <v>4.0</v>
      </c>
      <c r="R26" s="222">
        <v>1772.84</v>
      </c>
      <c r="S26" s="222">
        <v>1904.51</v>
      </c>
      <c r="T26" s="171">
        <f>R23-R26</f>
        <v>199.75</v>
      </c>
      <c r="U26" s="52"/>
    </row>
    <row r="27">
      <c r="A27" s="159" t="s">
        <v>150</v>
      </c>
      <c r="B27" s="208" t="s">
        <v>162</v>
      </c>
      <c r="C27" s="161">
        <v>10.0</v>
      </c>
      <c r="D27" s="209" t="s">
        <v>122</v>
      </c>
      <c r="E27" s="210">
        <v>176.08</v>
      </c>
      <c r="F27" s="138"/>
      <c r="G27" s="52"/>
      <c r="H27" s="52"/>
      <c r="I27" s="52"/>
      <c r="J27" s="50"/>
      <c r="K27" s="68"/>
      <c r="L27" s="171">
        <v>10.0</v>
      </c>
      <c r="M27" s="219" t="s">
        <v>153</v>
      </c>
      <c r="N27" s="220">
        <v>5.0</v>
      </c>
      <c r="O27" s="220">
        <v>9.0</v>
      </c>
      <c r="P27" s="171">
        <v>0.0</v>
      </c>
      <c r="Q27" s="221">
        <v>6.0</v>
      </c>
      <c r="R27" s="220">
        <v>1743.29</v>
      </c>
      <c r="S27" s="220">
        <v>2064.33</v>
      </c>
      <c r="T27" s="171">
        <f>R23-R27</f>
        <v>229.3</v>
      </c>
      <c r="U27" s="52"/>
    </row>
    <row r="28">
      <c r="A28" s="159" t="s">
        <v>152</v>
      </c>
      <c r="B28" s="208" t="s">
        <v>33</v>
      </c>
      <c r="C28" s="161">
        <v>10.0</v>
      </c>
      <c r="D28" s="209" t="s">
        <v>122</v>
      </c>
      <c r="E28" s="210">
        <v>180.17</v>
      </c>
      <c r="F28" s="216" t="s">
        <v>164</v>
      </c>
      <c r="G28" s="52"/>
      <c r="H28" s="52"/>
      <c r="I28" s="52"/>
      <c r="J28" s="50"/>
      <c r="K28" s="68"/>
      <c r="L28" s="175">
        <v>11.0</v>
      </c>
      <c r="M28" s="219" t="s">
        <v>170</v>
      </c>
      <c r="N28" s="210">
        <v>2.0</v>
      </c>
      <c r="O28" s="210">
        <v>12.0</v>
      </c>
      <c r="P28" s="175">
        <v>0.0</v>
      </c>
      <c r="Q28" s="221">
        <v>11.0</v>
      </c>
      <c r="R28" s="210">
        <v>1691.34</v>
      </c>
      <c r="S28" s="223">
        <v>1987.77</v>
      </c>
      <c r="T28" s="171">
        <f>R23-R28</f>
        <v>281.25</v>
      </c>
      <c r="U28" s="52"/>
    </row>
    <row r="29">
      <c r="A29" s="159" t="s">
        <v>154</v>
      </c>
      <c r="B29" s="208" t="s">
        <v>171</v>
      </c>
      <c r="C29" s="161">
        <v>10.0</v>
      </c>
      <c r="D29" s="209" t="s">
        <v>122</v>
      </c>
      <c r="E29" s="210">
        <v>206.11</v>
      </c>
      <c r="F29" s="52"/>
      <c r="G29" s="52"/>
      <c r="H29" s="52"/>
      <c r="I29" s="52"/>
      <c r="J29" s="50"/>
      <c r="K29" s="68"/>
      <c r="L29" s="175">
        <v>12.0</v>
      </c>
      <c r="M29" s="219" t="s">
        <v>172</v>
      </c>
      <c r="N29" s="220">
        <v>3.0</v>
      </c>
      <c r="O29" s="220">
        <v>11.0</v>
      </c>
      <c r="P29" s="171">
        <v>0.0</v>
      </c>
      <c r="Q29" s="221">
        <v>8.0</v>
      </c>
      <c r="R29" s="220">
        <v>1516.22</v>
      </c>
      <c r="S29" s="220">
        <v>1982.11</v>
      </c>
      <c r="T29" s="171">
        <f>R23-R29</f>
        <v>456.37</v>
      </c>
      <c r="U29" s="52"/>
    </row>
    <row r="30">
      <c r="A30" s="159" t="s">
        <v>156</v>
      </c>
      <c r="B30" s="208" t="s">
        <v>162</v>
      </c>
      <c r="C30" s="161">
        <v>10.0</v>
      </c>
      <c r="D30" s="209" t="s">
        <v>122</v>
      </c>
      <c r="E30" s="237">
        <v>197.4</v>
      </c>
      <c r="F30" s="52"/>
      <c r="G30" s="52"/>
      <c r="H30" s="52"/>
      <c r="I30" s="52"/>
      <c r="J30" s="50"/>
      <c r="K30" s="68"/>
      <c r="L30" s="68"/>
      <c r="M30" s="68"/>
      <c r="N30" s="68"/>
      <c r="O30" s="68"/>
      <c r="P30" s="68"/>
      <c r="Q30" s="68"/>
      <c r="R30" s="68"/>
      <c r="S30" s="68"/>
      <c r="T30" s="52"/>
      <c r="U30" s="52"/>
    </row>
    <row r="31">
      <c r="A31" s="238" t="s">
        <v>75</v>
      </c>
      <c r="B31" s="208" t="s">
        <v>32</v>
      </c>
      <c r="C31" s="233">
        <v>80.0</v>
      </c>
      <c r="D31" s="239" t="s">
        <v>122</v>
      </c>
      <c r="E31" s="240"/>
      <c r="F31" s="52"/>
      <c r="G31" s="52"/>
      <c r="H31" s="52"/>
      <c r="I31" s="52"/>
      <c r="J31" s="50"/>
      <c r="K31" s="68"/>
      <c r="L31" s="68"/>
      <c r="M31" s="68"/>
      <c r="N31" s="68"/>
      <c r="O31" s="68"/>
      <c r="P31" s="68"/>
      <c r="Q31" s="68"/>
      <c r="R31" s="68"/>
      <c r="S31" s="68"/>
      <c r="T31" s="52"/>
      <c r="U31" s="52"/>
    </row>
    <row r="32">
      <c r="A32" s="159" t="s">
        <v>76</v>
      </c>
      <c r="B32" s="208" t="s">
        <v>38</v>
      </c>
      <c r="C32" s="161">
        <v>25.0</v>
      </c>
      <c r="D32" s="209" t="s">
        <v>122</v>
      </c>
      <c r="E32" s="232">
        <v>171.18</v>
      </c>
      <c r="F32" s="138"/>
      <c r="G32" s="52"/>
      <c r="H32" s="187"/>
      <c r="I32" s="52"/>
      <c r="J32" s="50"/>
      <c r="K32" s="68"/>
      <c r="L32" s="68"/>
      <c r="M32" s="68"/>
      <c r="N32" s="68"/>
      <c r="O32" s="68"/>
      <c r="P32" s="68"/>
      <c r="Q32" s="68"/>
      <c r="R32" s="68"/>
      <c r="S32" s="68"/>
      <c r="T32" s="52"/>
      <c r="U32" s="52"/>
    </row>
    <row r="33">
      <c r="A33" s="159" t="s">
        <v>77</v>
      </c>
      <c r="B33" s="208" t="s">
        <v>31</v>
      </c>
      <c r="C33" s="161">
        <v>50.0</v>
      </c>
      <c r="D33" s="209" t="s">
        <v>122</v>
      </c>
      <c r="E33" s="210">
        <v>218.52</v>
      </c>
      <c r="F33" s="52"/>
      <c r="G33" s="52"/>
      <c r="H33" s="52"/>
      <c r="I33" s="52"/>
      <c r="J33" s="50"/>
      <c r="K33" s="68"/>
      <c r="L33" s="68"/>
      <c r="M33" s="68"/>
      <c r="N33" s="68"/>
      <c r="O33" s="68"/>
      <c r="P33" s="68"/>
      <c r="Q33" s="68"/>
      <c r="R33" s="68"/>
      <c r="S33" s="68"/>
      <c r="T33" s="52"/>
      <c r="U33" s="52"/>
    </row>
    <row r="34">
      <c r="A34" s="159" t="s">
        <v>78</v>
      </c>
      <c r="B34" s="208" t="s">
        <v>34</v>
      </c>
      <c r="C34" s="161">
        <v>100.0</v>
      </c>
      <c r="D34" s="209" t="s">
        <v>122</v>
      </c>
      <c r="E34" s="210">
        <v>101.78</v>
      </c>
      <c r="F34" s="216"/>
      <c r="G34" s="52"/>
      <c r="H34" s="52"/>
      <c r="I34" s="52"/>
      <c r="J34" s="50"/>
      <c r="K34" s="68"/>
      <c r="L34" s="68"/>
      <c r="M34" s="68"/>
      <c r="N34" s="68"/>
      <c r="O34" s="68"/>
      <c r="P34" s="68"/>
      <c r="Q34" s="68"/>
      <c r="R34" s="68"/>
      <c r="S34" s="68"/>
      <c r="T34" s="52"/>
      <c r="U34" s="52"/>
    </row>
    <row r="35">
      <c r="A35" s="159" t="s">
        <v>79</v>
      </c>
      <c r="B35" s="208" t="s">
        <v>32</v>
      </c>
      <c r="C35" s="233">
        <v>205.0</v>
      </c>
      <c r="D35" s="209" t="s">
        <v>122</v>
      </c>
      <c r="E35" s="210">
        <v>122.23</v>
      </c>
      <c r="F35" s="216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</row>
    <row r="36">
      <c r="A36" s="188" t="s">
        <v>66</v>
      </c>
      <c r="B36" s="136"/>
      <c r="C36" s="189">
        <f>SUM(C17:C35)</f>
        <v>600</v>
      </c>
      <c r="D36" s="50"/>
      <c r="E36" s="50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</row>
    <row r="37">
      <c r="A37" s="234"/>
      <c r="B37" s="191"/>
      <c r="C37" s="192"/>
      <c r="D37" s="50"/>
      <c r="E37" s="50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</row>
    <row r="38">
      <c r="A38" s="11" t="s">
        <v>157</v>
      </c>
    </row>
  </sheetData>
  <mergeCells count="2">
    <mergeCell ref="A36:B36"/>
    <mergeCell ref="A37:B3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7.13"/>
    <col customWidth="1" min="3" max="3" width="8.88"/>
    <col customWidth="1" min="4" max="5" width="8.75"/>
    <col customWidth="1" min="6" max="6" width="7.25"/>
    <col customWidth="1" min="7" max="7" width="6.13"/>
    <col customWidth="1" min="8" max="8" width="8.25"/>
    <col customWidth="1" min="9" max="9" width="7.88"/>
    <col customWidth="1" min="10" max="10" width="8.38"/>
    <col customWidth="1" min="11" max="11" width="9.25"/>
    <col customWidth="1" min="12" max="12" width="10.13"/>
    <col customWidth="1" min="13" max="13" width="11.75"/>
    <col customWidth="1" min="14" max="14" width="7.38"/>
    <col customWidth="1" min="15" max="15" width="7.0"/>
    <col customWidth="1" min="16" max="16" width="7.13"/>
    <col customWidth="1" min="17" max="17" width="7.38"/>
    <col customWidth="1" min="18" max="19" width="6.5"/>
    <col customWidth="1" min="20" max="20" width="9.0"/>
  </cols>
  <sheetData>
    <row r="1">
      <c r="A1" s="139" t="s">
        <v>0</v>
      </c>
      <c r="B1" s="140" t="s">
        <v>108</v>
      </c>
      <c r="C1" s="140" t="s">
        <v>108</v>
      </c>
      <c r="D1" s="193" t="s">
        <v>75</v>
      </c>
      <c r="E1" s="140" t="s">
        <v>76</v>
      </c>
      <c r="F1" s="140" t="s">
        <v>77</v>
      </c>
      <c r="G1" s="140" t="s">
        <v>78</v>
      </c>
      <c r="H1" s="140" t="s">
        <v>109</v>
      </c>
      <c r="I1" s="140" t="s">
        <v>110</v>
      </c>
      <c r="J1" s="140" t="s">
        <v>111</v>
      </c>
      <c r="K1" s="193" t="s">
        <v>112</v>
      </c>
      <c r="L1" s="140" t="s">
        <v>113</v>
      </c>
      <c r="M1" s="50"/>
      <c r="N1" s="194" t="s">
        <v>67</v>
      </c>
      <c r="O1" s="194" t="s">
        <v>114</v>
      </c>
      <c r="P1" s="194" t="s">
        <v>115</v>
      </c>
      <c r="Q1" s="52"/>
      <c r="R1" s="50"/>
      <c r="S1" s="195"/>
      <c r="T1" s="195"/>
      <c r="U1" s="195"/>
    </row>
    <row r="2">
      <c r="A2" s="142" t="s">
        <v>46</v>
      </c>
      <c r="B2" s="196">
        <v>2.0</v>
      </c>
      <c r="C2" s="130">
        <f t="shared" ref="C2:C13" si="1">10*B2</f>
        <v>20</v>
      </c>
      <c r="D2" s="197">
        <v>0.0</v>
      </c>
      <c r="E2" s="130">
        <v>25.0</v>
      </c>
      <c r="F2" s="197">
        <v>0.0</v>
      </c>
      <c r="G2" s="198">
        <v>0.0</v>
      </c>
      <c r="H2" s="130">
        <v>0.0</v>
      </c>
      <c r="I2" s="145">
        <f t="shared" ref="I2:I13" si="2">sum(D2:H2)</f>
        <v>25</v>
      </c>
      <c r="J2" s="130">
        <f t="shared" ref="J2:J13" si="3">O2</f>
        <v>50</v>
      </c>
      <c r="K2" s="130">
        <f t="shared" ref="K2:K13" si="4">J2-50</f>
        <v>0</v>
      </c>
      <c r="L2" s="130">
        <f t="shared" ref="L2:L13" si="5">I2-J2</f>
        <v>-25</v>
      </c>
      <c r="M2" s="50"/>
      <c r="N2" s="199" t="s">
        <v>46</v>
      </c>
      <c r="O2" s="241">
        <v>50.0</v>
      </c>
      <c r="P2" s="242">
        <f t="shared" ref="P2:P13" si="6">O2-50</f>
        <v>0</v>
      </c>
      <c r="Q2" s="52"/>
      <c r="R2" s="50"/>
      <c r="S2" s="195"/>
      <c r="T2" s="195"/>
      <c r="U2" s="195"/>
    </row>
    <row r="3">
      <c r="A3" s="142" t="s">
        <v>38</v>
      </c>
      <c r="B3" s="196">
        <v>3.0</v>
      </c>
      <c r="C3" s="130">
        <f t="shared" si="1"/>
        <v>30</v>
      </c>
      <c r="D3" s="197">
        <v>0.0</v>
      </c>
      <c r="E3" s="197">
        <v>0.0</v>
      </c>
      <c r="F3" s="130">
        <v>0.0</v>
      </c>
      <c r="G3" s="197">
        <v>100.0</v>
      </c>
      <c r="H3" s="197">
        <v>0.0</v>
      </c>
      <c r="I3" s="145">
        <f t="shared" si="2"/>
        <v>100</v>
      </c>
      <c r="J3" s="130">
        <f t="shared" si="3"/>
        <v>50</v>
      </c>
      <c r="K3" s="130">
        <f t="shared" si="4"/>
        <v>0</v>
      </c>
      <c r="L3" s="130">
        <f t="shared" si="5"/>
        <v>50</v>
      </c>
      <c r="M3" s="134"/>
      <c r="N3" s="199" t="s">
        <v>38</v>
      </c>
      <c r="O3" s="241">
        <v>50.0</v>
      </c>
      <c r="P3" s="242">
        <f t="shared" si="6"/>
        <v>0</v>
      </c>
      <c r="Q3" s="52"/>
      <c r="R3" s="50"/>
      <c r="S3" s="195"/>
      <c r="T3" s="195"/>
      <c r="U3" s="195"/>
    </row>
    <row r="4">
      <c r="A4" s="142" t="s">
        <v>36</v>
      </c>
      <c r="B4" s="196">
        <v>1.0</v>
      </c>
      <c r="C4" s="130">
        <f t="shared" si="1"/>
        <v>10</v>
      </c>
      <c r="D4" s="197">
        <v>0.0</v>
      </c>
      <c r="E4" s="197">
        <v>0.0</v>
      </c>
      <c r="F4" s="197">
        <v>0.0</v>
      </c>
      <c r="G4" s="197">
        <v>0.0</v>
      </c>
      <c r="H4" s="130">
        <v>0.0</v>
      </c>
      <c r="I4" s="145">
        <f t="shared" si="2"/>
        <v>0</v>
      </c>
      <c r="J4" s="130">
        <f t="shared" si="3"/>
        <v>50</v>
      </c>
      <c r="K4" s="130">
        <f t="shared" si="4"/>
        <v>0</v>
      </c>
      <c r="L4" s="130">
        <f t="shared" si="5"/>
        <v>-50</v>
      </c>
      <c r="M4" s="50"/>
      <c r="N4" s="199" t="s">
        <v>36</v>
      </c>
      <c r="O4" s="241">
        <v>50.0</v>
      </c>
      <c r="P4" s="242">
        <f t="shared" si="6"/>
        <v>0</v>
      </c>
      <c r="Q4" s="52"/>
      <c r="R4" s="50"/>
      <c r="S4" s="195"/>
      <c r="T4" s="195"/>
      <c r="U4" s="195"/>
    </row>
    <row r="5">
      <c r="A5" s="202" t="s">
        <v>45</v>
      </c>
      <c r="B5" s="196">
        <v>3.0</v>
      </c>
      <c r="C5" s="130">
        <f t="shared" si="1"/>
        <v>30</v>
      </c>
      <c r="D5" s="197">
        <v>0.0</v>
      </c>
      <c r="E5" s="197">
        <v>0.0</v>
      </c>
      <c r="F5" s="197">
        <v>0.0</v>
      </c>
      <c r="G5" s="197">
        <v>0.0</v>
      </c>
      <c r="H5" s="130">
        <v>0.0</v>
      </c>
      <c r="I5" s="145">
        <f t="shared" si="2"/>
        <v>0</v>
      </c>
      <c r="J5" s="130">
        <f t="shared" si="3"/>
        <v>75</v>
      </c>
      <c r="K5" s="130">
        <f t="shared" si="4"/>
        <v>25</v>
      </c>
      <c r="L5" s="130">
        <f t="shared" si="5"/>
        <v>-75</v>
      </c>
      <c r="M5" s="50"/>
      <c r="N5" s="204" t="s">
        <v>45</v>
      </c>
      <c r="O5" s="241">
        <v>75.0</v>
      </c>
      <c r="P5" s="242">
        <f t="shared" si="6"/>
        <v>25</v>
      </c>
      <c r="Q5" s="52"/>
      <c r="R5" s="50"/>
      <c r="S5" s="195"/>
      <c r="T5" s="195"/>
      <c r="U5" s="195"/>
    </row>
    <row r="6">
      <c r="A6" s="202" t="s">
        <v>33</v>
      </c>
      <c r="B6" s="196">
        <v>2.0</v>
      </c>
      <c r="C6" s="130">
        <f t="shared" si="1"/>
        <v>20</v>
      </c>
      <c r="D6" s="197">
        <v>80.0</v>
      </c>
      <c r="E6" s="197">
        <v>0.0</v>
      </c>
      <c r="F6" s="130">
        <v>0.0</v>
      </c>
      <c r="G6" s="197">
        <v>0.0</v>
      </c>
      <c r="H6" s="197">
        <v>205.0</v>
      </c>
      <c r="I6" s="145">
        <f t="shared" si="2"/>
        <v>285</v>
      </c>
      <c r="J6" s="130">
        <f t="shared" si="3"/>
        <v>50</v>
      </c>
      <c r="K6" s="130">
        <f t="shared" si="4"/>
        <v>0</v>
      </c>
      <c r="L6" s="130">
        <f t="shared" si="5"/>
        <v>235</v>
      </c>
      <c r="M6" s="50"/>
      <c r="N6" s="204" t="s">
        <v>33</v>
      </c>
      <c r="O6" s="241">
        <v>50.0</v>
      </c>
      <c r="P6" s="242">
        <f t="shared" si="6"/>
        <v>0</v>
      </c>
      <c r="Q6" s="52"/>
      <c r="R6" s="50"/>
      <c r="S6" s="195"/>
      <c r="T6" s="195"/>
      <c r="U6" s="195"/>
    </row>
    <row r="7">
      <c r="A7" s="142" t="s">
        <v>31</v>
      </c>
      <c r="B7" s="196">
        <v>0.0</v>
      </c>
      <c r="C7" s="130">
        <f t="shared" si="1"/>
        <v>0</v>
      </c>
      <c r="D7" s="197">
        <v>0.0</v>
      </c>
      <c r="E7" s="197">
        <v>0.0</v>
      </c>
      <c r="F7" s="197">
        <v>0.0</v>
      </c>
      <c r="G7" s="197">
        <v>0.0</v>
      </c>
      <c r="H7" s="130">
        <v>0.0</v>
      </c>
      <c r="I7" s="145">
        <f t="shared" si="2"/>
        <v>0</v>
      </c>
      <c r="J7" s="130">
        <f t="shared" si="3"/>
        <v>50</v>
      </c>
      <c r="K7" s="130">
        <f t="shared" si="4"/>
        <v>0</v>
      </c>
      <c r="L7" s="130">
        <f t="shared" si="5"/>
        <v>-50</v>
      </c>
      <c r="M7" s="50"/>
      <c r="N7" s="199" t="s">
        <v>31</v>
      </c>
      <c r="O7" s="241">
        <v>50.0</v>
      </c>
      <c r="P7" s="242">
        <f t="shared" si="6"/>
        <v>0</v>
      </c>
      <c r="Q7" s="52"/>
      <c r="R7" s="50"/>
      <c r="S7" s="195"/>
      <c r="T7" s="195"/>
      <c r="U7" s="195"/>
    </row>
    <row r="8">
      <c r="A8" s="142" t="s">
        <v>35</v>
      </c>
      <c r="B8" s="196">
        <v>0.0</v>
      </c>
      <c r="C8" s="130">
        <f t="shared" si="1"/>
        <v>0</v>
      </c>
      <c r="D8" s="197">
        <v>0.0</v>
      </c>
      <c r="E8" s="197">
        <v>0.0</v>
      </c>
      <c r="F8" s="197">
        <v>50.0</v>
      </c>
      <c r="G8" s="197">
        <v>0.0</v>
      </c>
      <c r="H8" s="130">
        <v>0.0</v>
      </c>
      <c r="I8" s="145">
        <f t="shared" si="2"/>
        <v>50</v>
      </c>
      <c r="J8" s="130">
        <f t="shared" si="3"/>
        <v>50</v>
      </c>
      <c r="K8" s="130">
        <f t="shared" si="4"/>
        <v>0</v>
      </c>
      <c r="L8" s="130">
        <f t="shared" si="5"/>
        <v>0</v>
      </c>
      <c r="M8" s="50"/>
      <c r="N8" s="199" t="s">
        <v>35</v>
      </c>
      <c r="O8" s="241">
        <v>50.0</v>
      </c>
      <c r="P8" s="242">
        <f t="shared" si="6"/>
        <v>0</v>
      </c>
      <c r="Q8" s="52"/>
      <c r="R8" s="50"/>
      <c r="S8" s="195"/>
      <c r="T8" s="195"/>
      <c r="U8" s="195"/>
    </row>
    <row r="9">
      <c r="A9" s="142" t="s">
        <v>34</v>
      </c>
      <c r="B9" s="196">
        <v>0.0</v>
      </c>
      <c r="C9" s="130">
        <f t="shared" si="1"/>
        <v>0</v>
      </c>
      <c r="D9" s="197">
        <v>0.0</v>
      </c>
      <c r="E9" s="197">
        <v>0.0</v>
      </c>
      <c r="F9" s="197">
        <v>0.0</v>
      </c>
      <c r="G9" s="197">
        <v>0.0</v>
      </c>
      <c r="H9" s="130">
        <v>0.0</v>
      </c>
      <c r="I9" s="145">
        <f t="shared" si="2"/>
        <v>0</v>
      </c>
      <c r="J9" s="130">
        <f t="shared" si="3"/>
        <v>50</v>
      </c>
      <c r="K9" s="130">
        <f t="shared" si="4"/>
        <v>0</v>
      </c>
      <c r="L9" s="130">
        <f t="shared" si="5"/>
        <v>-50</v>
      </c>
      <c r="M9" s="50"/>
      <c r="N9" s="199" t="s">
        <v>34</v>
      </c>
      <c r="O9" s="241">
        <v>50.0</v>
      </c>
      <c r="P9" s="242">
        <f t="shared" si="6"/>
        <v>0</v>
      </c>
      <c r="Q9" s="52"/>
      <c r="R9" s="50"/>
      <c r="S9" s="195"/>
      <c r="T9" s="195"/>
      <c r="U9" s="195"/>
    </row>
    <row r="10">
      <c r="A10" s="202" t="s">
        <v>32</v>
      </c>
      <c r="B10" s="196">
        <v>0.0</v>
      </c>
      <c r="C10" s="130">
        <f t="shared" si="1"/>
        <v>0</v>
      </c>
      <c r="D10" s="197">
        <v>0.0</v>
      </c>
      <c r="E10" s="197">
        <v>0.0</v>
      </c>
      <c r="F10" s="197">
        <v>0.0</v>
      </c>
      <c r="G10" s="197">
        <v>0.0</v>
      </c>
      <c r="H10" s="130">
        <v>0.0</v>
      </c>
      <c r="I10" s="145">
        <f t="shared" si="2"/>
        <v>0</v>
      </c>
      <c r="J10" s="130">
        <f t="shared" si="3"/>
        <v>50</v>
      </c>
      <c r="K10" s="130">
        <f t="shared" si="4"/>
        <v>0</v>
      </c>
      <c r="L10" s="130">
        <f t="shared" si="5"/>
        <v>-50</v>
      </c>
      <c r="M10" s="50"/>
      <c r="N10" s="204" t="s">
        <v>32</v>
      </c>
      <c r="O10" s="241">
        <v>50.0</v>
      </c>
      <c r="P10" s="242">
        <f t="shared" si="6"/>
        <v>0</v>
      </c>
      <c r="Q10" s="52"/>
      <c r="R10" s="50"/>
      <c r="S10" s="195"/>
      <c r="T10" s="195"/>
      <c r="U10" s="195"/>
    </row>
    <row r="11">
      <c r="A11" s="142" t="s">
        <v>42</v>
      </c>
      <c r="B11" s="196">
        <v>0.0</v>
      </c>
      <c r="C11" s="130">
        <f t="shared" si="1"/>
        <v>0</v>
      </c>
      <c r="D11" s="197">
        <v>0.0</v>
      </c>
      <c r="E11" s="197">
        <v>0.0</v>
      </c>
      <c r="F11" s="197">
        <v>0.0</v>
      </c>
      <c r="G11" s="197">
        <v>0.0</v>
      </c>
      <c r="H11" s="130">
        <v>0.0</v>
      </c>
      <c r="I11" s="145">
        <f t="shared" si="2"/>
        <v>0</v>
      </c>
      <c r="J11" s="130" t="str">
        <f t="shared" si="3"/>
        <v/>
      </c>
      <c r="K11" s="130">
        <f t="shared" si="4"/>
        <v>-50</v>
      </c>
      <c r="L11" s="130">
        <f t="shared" si="5"/>
        <v>0</v>
      </c>
      <c r="M11" s="50"/>
      <c r="N11" s="199" t="s">
        <v>42</v>
      </c>
      <c r="O11" s="243"/>
      <c r="P11" s="242">
        <f t="shared" si="6"/>
        <v>-50</v>
      </c>
      <c r="Q11" s="52"/>
      <c r="R11" s="50"/>
      <c r="S11" s="195"/>
      <c r="T11" s="195"/>
      <c r="U11" s="195"/>
    </row>
    <row r="12">
      <c r="A12" s="142" t="s">
        <v>39</v>
      </c>
      <c r="B12" s="196">
        <v>3.0</v>
      </c>
      <c r="C12" s="130">
        <f t="shared" si="1"/>
        <v>30</v>
      </c>
      <c r="D12" s="197">
        <v>0.0</v>
      </c>
      <c r="E12" s="197">
        <v>0.0</v>
      </c>
      <c r="F12" s="197">
        <v>0.0</v>
      </c>
      <c r="G12" s="197">
        <v>0.0</v>
      </c>
      <c r="H12" s="130">
        <v>0.0</v>
      </c>
      <c r="I12" s="145">
        <f t="shared" si="2"/>
        <v>0</v>
      </c>
      <c r="J12" s="130">
        <f t="shared" si="3"/>
        <v>50</v>
      </c>
      <c r="K12" s="130">
        <f t="shared" si="4"/>
        <v>0</v>
      </c>
      <c r="L12" s="130">
        <f t="shared" si="5"/>
        <v>-50</v>
      </c>
      <c r="M12" s="50"/>
      <c r="N12" s="199" t="s">
        <v>39</v>
      </c>
      <c r="O12" s="241">
        <v>50.0</v>
      </c>
      <c r="P12" s="242">
        <f t="shared" si="6"/>
        <v>0</v>
      </c>
      <c r="Q12" s="52"/>
      <c r="R12" s="50"/>
      <c r="S12" s="195"/>
      <c r="T12" s="195"/>
      <c r="U12" s="195"/>
    </row>
    <row r="13">
      <c r="A13" s="142" t="s">
        <v>30</v>
      </c>
      <c r="B13" s="196">
        <v>0.0</v>
      </c>
      <c r="C13" s="130">
        <f t="shared" si="1"/>
        <v>0</v>
      </c>
      <c r="D13" s="197">
        <v>0.0</v>
      </c>
      <c r="E13" s="197">
        <v>0.0</v>
      </c>
      <c r="F13" s="197">
        <v>0.0</v>
      </c>
      <c r="G13" s="197">
        <v>0.0</v>
      </c>
      <c r="H13" s="130">
        <v>0.0</v>
      </c>
      <c r="I13" s="145">
        <f t="shared" si="2"/>
        <v>0</v>
      </c>
      <c r="J13" s="130">
        <f t="shared" si="3"/>
        <v>50</v>
      </c>
      <c r="K13" s="130">
        <f t="shared" si="4"/>
        <v>0</v>
      </c>
      <c r="L13" s="130">
        <f t="shared" si="5"/>
        <v>-50</v>
      </c>
      <c r="M13" s="50"/>
      <c r="N13" s="199" t="s">
        <v>30</v>
      </c>
      <c r="O13" s="241">
        <v>50.0</v>
      </c>
      <c r="P13" s="242">
        <f t="shared" si="6"/>
        <v>0</v>
      </c>
      <c r="Q13" s="52"/>
      <c r="R13" s="50"/>
      <c r="S13" s="195"/>
      <c r="T13" s="195"/>
      <c r="U13" s="195"/>
    </row>
    <row r="14">
      <c r="A14" s="50"/>
      <c r="B14" s="50"/>
      <c r="C14" s="152">
        <f t="shared" ref="C14:J14" si="7">SUM(C2:C13)</f>
        <v>140</v>
      </c>
      <c r="D14" s="152">
        <f t="shared" si="7"/>
        <v>80</v>
      </c>
      <c r="E14" s="152">
        <f t="shared" si="7"/>
        <v>25</v>
      </c>
      <c r="F14" s="152">
        <f t="shared" si="7"/>
        <v>50</v>
      </c>
      <c r="G14" s="152">
        <f t="shared" si="7"/>
        <v>100</v>
      </c>
      <c r="H14" s="152">
        <f t="shared" si="7"/>
        <v>205</v>
      </c>
      <c r="I14" s="152">
        <f t="shared" si="7"/>
        <v>460</v>
      </c>
      <c r="J14" s="153">
        <f t="shared" si="7"/>
        <v>575</v>
      </c>
      <c r="K14" s="152">
        <f>sum(K2:K13)</f>
        <v>-25</v>
      </c>
      <c r="L14" s="152">
        <f>SUM(L2:L13)</f>
        <v>-115</v>
      </c>
      <c r="M14" s="50"/>
      <c r="N14" s="205" t="s">
        <v>66</v>
      </c>
      <c r="O14" s="244">
        <f t="shared" ref="O14:P14" si="8">SUM(O2:O13)</f>
        <v>575</v>
      </c>
      <c r="P14" s="245">
        <f t="shared" si="8"/>
        <v>-25</v>
      </c>
      <c r="Q14" s="52"/>
      <c r="R14" s="50"/>
      <c r="S14" s="195"/>
      <c r="T14" s="195"/>
      <c r="U14" s="195"/>
    </row>
    <row r="15">
      <c r="A15" s="50"/>
      <c r="B15" s="50"/>
      <c r="C15" s="50"/>
      <c r="D15" s="50"/>
      <c r="E15" s="50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</row>
    <row r="16">
      <c r="A16" s="207" t="s">
        <v>118</v>
      </c>
      <c r="B16" s="158" t="s">
        <v>0</v>
      </c>
      <c r="C16" s="158" t="s">
        <v>119</v>
      </c>
      <c r="D16" s="158" t="s">
        <v>114</v>
      </c>
      <c r="E16" s="158" t="s">
        <v>120</v>
      </c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</row>
    <row r="17">
      <c r="A17" s="159" t="s">
        <v>121</v>
      </c>
      <c r="B17" s="208" t="s">
        <v>39</v>
      </c>
      <c r="C17" s="161">
        <v>10.0</v>
      </c>
      <c r="D17" s="209" t="s">
        <v>122</v>
      </c>
      <c r="E17" s="210">
        <v>162.84</v>
      </c>
      <c r="F17" s="52"/>
      <c r="G17" s="52"/>
      <c r="H17" s="52"/>
      <c r="I17" s="52"/>
      <c r="J17" s="52"/>
      <c r="K17" s="68"/>
      <c r="L17" s="164" t="s">
        <v>123</v>
      </c>
      <c r="M17" s="164" t="s">
        <v>124</v>
      </c>
      <c r="N17" s="164" t="s">
        <v>125</v>
      </c>
      <c r="O17" s="164" t="s">
        <v>126</v>
      </c>
      <c r="P17" s="164" t="s">
        <v>127</v>
      </c>
      <c r="Q17" s="164" t="s">
        <v>128</v>
      </c>
      <c r="R17" s="164" t="s">
        <v>129</v>
      </c>
      <c r="S17" s="164" t="s">
        <v>130</v>
      </c>
      <c r="T17" s="164" t="s">
        <v>131</v>
      </c>
      <c r="U17" s="52"/>
    </row>
    <row r="18">
      <c r="A18" s="159" t="s">
        <v>132</v>
      </c>
      <c r="B18" s="208" t="s">
        <v>45</v>
      </c>
      <c r="C18" s="161">
        <v>10.0</v>
      </c>
      <c r="D18" s="209" t="s">
        <v>122</v>
      </c>
      <c r="E18" s="210">
        <v>183.94</v>
      </c>
      <c r="F18" s="52"/>
      <c r="G18" s="52"/>
      <c r="H18" s="52"/>
      <c r="I18" s="52"/>
      <c r="J18" s="52"/>
      <c r="K18" s="68"/>
      <c r="L18" s="165">
        <v>1.0</v>
      </c>
      <c r="M18" s="211" t="s">
        <v>38</v>
      </c>
      <c r="N18" s="212">
        <v>10.0</v>
      </c>
      <c r="O18" s="212">
        <v>4.0</v>
      </c>
      <c r="P18" s="165">
        <v>0.0</v>
      </c>
      <c r="Q18" s="168">
        <v>0.0</v>
      </c>
      <c r="R18" s="214">
        <v>2157.63</v>
      </c>
      <c r="S18" s="214">
        <v>1870.71</v>
      </c>
      <c r="T18" s="165">
        <f>R24-R18</f>
        <v>-292.31</v>
      </c>
      <c r="U18" s="52"/>
    </row>
    <row r="19">
      <c r="A19" s="159" t="s">
        <v>134</v>
      </c>
      <c r="B19" s="208" t="s">
        <v>45</v>
      </c>
      <c r="C19" s="161">
        <v>10.0</v>
      </c>
      <c r="D19" s="209" t="s">
        <v>122</v>
      </c>
      <c r="E19" s="210">
        <v>159.17</v>
      </c>
      <c r="F19" s="52"/>
      <c r="G19" s="52"/>
      <c r="H19" s="52"/>
      <c r="I19" s="52"/>
      <c r="J19" s="52"/>
      <c r="K19" s="68"/>
      <c r="L19" s="165">
        <v>2.0</v>
      </c>
      <c r="M19" s="211" t="s">
        <v>33</v>
      </c>
      <c r="N19" s="212">
        <v>10.0</v>
      </c>
      <c r="O19" s="212">
        <v>4.0</v>
      </c>
      <c r="P19" s="165">
        <v>0.0</v>
      </c>
      <c r="Q19" s="213">
        <v>0.0</v>
      </c>
      <c r="R19" s="214">
        <v>2092.86</v>
      </c>
      <c r="S19" s="214">
        <v>1906.59</v>
      </c>
      <c r="T19" s="165">
        <f>R23-R19</f>
        <v>-182.12</v>
      </c>
      <c r="U19" s="52"/>
    </row>
    <row r="20">
      <c r="A20" s="159" t="s">
        <v>136</v>
      </c>
      <c r="B20" s="208" t="s">
        <v>38</v>
      </c>
      <c r="C20" s="161">
        <v>10.0</v>
      </c>
      <c r="D20" s="209" t="s">
        <v>122</v>
      </c>
      <c r="E20" s="210">
        <v>200.04</v>
      </c>
      <c r="F20" s="52"/>
      <c r="G20" s="52"/>
      <c r="H20" s="52"/>
      <c r="I20" s="52"/>
      <c r="J20" s="52"/>
      <c r="K20" s="68"/>
      <c r="L20" s="165">
        <v>3.0</v>
      </c>
      <c r="M20" s="211" t="s">
        <v>39</v>
      </c>
      <c r="N20" s="212">
        <v>8.0</v>
      </c>
      <c r="O20" s="212">
        <v>6.0</v>
      </c>
      <c r="P20" s="165">
        <v>0.0</v>
      </c>
      <c r="Q20" s="213">
        <v>2.0</v>
      </c>
      <c r="R20" s="214">
        <v>2112.17</v>
      </c>
      <c r="S20" s="214">
        <v>1979.47</v>
      </c>
      <c r="T20" s="165">
        <f>R23-R20</f>
        <v>-201.43</v>
      </c>
      <c r="U20" s="52"/>
    </row>
    <row r="21">
      <c r="A21" s="159" t="s">
        <v>138</v>
      </c>
      <c r="B21" s="208" t="s">
        <v>39</v>
      </c>
      <c r="C21" s="161">
        <v>10.0</v>
      </c>
      <c r="D21" s="209" t="s">
        <v>122</v>
      </c>
      <c r="E21" s="210">
        <v>202.52</v>
      </c>
      <c r="F21" s="52"/>
      <c r="G21" s="52"/>
      <c r="H21" s="52"/>
      <c r="I21" s="52"/>
      <c r="J21" s="52"/>
      <c r="K21" s="68"/>
      <c r="L21" s="165">
        <v>4.0</v>
      </c>
      <c r="M21" s="211" t="s">
        <v>46</v>
      </c>
      <c r="N21" s="212">
        <v>9.0</v>
      </c>
      <c r="O21" s="212">
        <v>5.0</v>
      </c>
      <c r="P21" s="165">
        <v>0.0</v>
      </c>
      <c r="Q21" s="213">
        <v>1.0</v>
      </c>
      <c r="R21" s="214">
        <v>2061.2</v>
      </c>
      <c r="S21" s="214">
        <v>1968.45</v>
      </c>
      <c r="T21" s="165">
        <f>R23-R21</f>
        <v>-150.46</v>
      </c>
      <c r="U21" s="52"/>
    </row>
    <row r="22">
      <c r="A22" s="159" t="s">
        <v>140</v>
      </c>
      <c r="B22" s="208" t="s">
        <v>33</v>
      </c>
      <c r="C22" s="161">
        <v>10.0</v>
      </c>
      <c r="D22" s="209" t="s">
        <v>122</v>
      </c>
      <c r="E22" s="210">
        <v>157.53</v>
      </c>
      <c r="F22" s="216" t="s">
        <v>173</v>
      </c>
      <c r="G22" s="52"/>
      <c r="H22" s="52"/>
      <c r="I22" s="52"/>
      <c r="J22" s="50"/>
      <c r="K22" s="68"/>
      <c r="L22" s="165">
        <v>5.0</v>
      </c>
      <c r="M22" s="211" t="s">
        <v>36</v>
      </c>
      <c r="N22" s="212">
        <v>7.0</v>
      </c>
      <c r="O22" s="212">
        <v>7.0</v>
      </c>
      <c r="P22" s="165">
        <v>0.0</v>
      </c>
      <c r="Q22" s="213">
        <v>3.0</v>
      </c>
      <c r="R22" s="214">
        <v>1925.51</v>
      </c>
      <c r="S22" s="214">
        <v>1758.26</v>
      </c>
      <c r="T22" s="165">
        <f>R23-R22</f>
        <v>-14.77</v>
      </c>
      <c r="U22" s="52"/>
    </row>
    <row r="23">
      <c r="A23" s="159" t="s">
        <v>142</v>
      </c>
      <c r="B23" s="208" t="s">
        <v>38</v>
      </c>
      <c r="C23" s="161">
        <v>10.0</v>
      </c>
      <c r="D23" s="209" t="s">
        <v>122</v>
      </c>
      <c r="E23" s="210">
        <v>181.77</v>
      </c>
      <c r="F23" s="52"/>
      <c r="G23" s="52"/>
      <c r="H23" s="52"/>
      <c r="I23" s="52"/>
      <c r="J23" s="50"/>
      <c r="K23" s="68"/>
      <c r="L23" s="165">
        <v>6.0</v>
      </c>
      <c r="M23" s="211" t="s">
        <v>35</v>
      </c>
      <c r="N23" s="212">
        <v>7.0</v>
      </c>
      <c r="O23" s="212">
        <v>7.0</v>
      </c>
      <c r="P23" s="165">
        <v>0.0</v>
      </c>
      <c r="Q23" s="213">
        <v>3.0</v>
      </c>
      <c r="R23" s="214">
        <v>1910.74</v>
      </c>
      <c r="S23" s="212">
        <v>1905.11</v>
      </c>
      <c r="T23" s="165">
        <f>R23-R23</f>
        <v>0</v>
      </c>
      <c r="U23" s="52"/>
    </row>
    <row r="24">
      <c r="A24" s="159" t="s">
        <v>144</v>
      </c>
      <c r="B24" s="208" t="s">
        <v>33</v>
      </c>
      <c r="C24" s="161">
        <v>10.0</v>
      </c>
      <c r="D24" s="209" t="s">
        <v>122</v>
      </c>
      <c r="E24" s="210">
        <v>193.58</v>
      </c>
      <c r="F24" s="216" t="s">
        <v>173</v>
      </c>
      <c r="G24" s="52"/>
      <c r="H24" s="52"/>
      <c r="I24" s="52"/>
      <c r="J24" s="50"/>
      <c r="K24" s="68"/>
      <c r="L24" s="171">
        <v>7.0</v>
      </c>
      <c r="M24" s="219" t="s">
        <v>31</v>
      </c>
      <c r="N24" s="220">
        <v>8.0</v>
      </c>
      <c r="O24" s="220">
        <v>6.0</v>
      </c>
      <c r="P24" s="171">
        <v>0.0</v>
      </c>
      <c r="Q24" s="221">
        <v>2.0</v>
      </c>
      <c r="R24" s="220">
        <v>1865.32</v>
      </c>
      <c r="S24" s="222">
        <v>1989.22</v>
      </c>
      <c r="T24" s="171">
        <f>R23-R24</f>
        <v>45.42</v>
      </c>
      <c r="U24" s="52"/>
    </row>
    <row r="25">
      <c r="A25" s="159" t="s">
        <v>146</v>
      </c>
      <c r="B25" s="208" t="s">
        <v>38</v>
      </c>
      <c r="C25" s="161">
        <v>10.0</v>
      </c>
      <c r="D25" s="209" t="s">
        <v>122</v>
      </c>
      <c r="E25" s="210">
        <v>170.7</v>
      </c>
      <c r="F25" s="52"/>
      <c r="G25" s="52"/>
      <c r="H25" s="52"/>
      <c r="I25" s="52"/>
      <c r="J25" s="50"/>
      <c r="K25" s="68"/>
      <c r="L25" s="171">
        <v>8.0</v>
      </c>
      <c r="M25" s="219" t="s">
        <v>34</v>
      </c>
      <c r="N25" s="220">
        <v>6.0</v>
      </c>
      <c r="O25" s="220">
        <v>8.0</v>
      </c>
      <c r="P25" s="171">
        <v>0.0</v>
      </c>
      <c r="Q25" s="221">
        <v>4.0</v>
      </c>
      <c r="R25" s="220">
        <v>1811.05</v>
      </c>
      <c r="S25" s="220">
        <v>1848.93</v>
      </c>
      <c r="T25" s="171">
        <f>R23-R25</f>
        <v>99.69</v>
      </c>
      <c r="U25" s="52"/>
    </row>
    <row r="26">
      <c r="A26" s="159" t="s">
        <v>148</v>
      </c>
      <c r="B26" s="208" t="s">
        <v>46</v>
      </c>
      <c r="C26" s="161">
        <v>10.0</v>
      </c>
      <c r="D26" s="209" t="s">
        <v>122</v>
      </c>
      <c r="E26" s="210">
        <v>149.5</v>
      </c>
      <c r="F26" s="52"/>
      <c r="G26" s="52"/>
      <c r="H26" s="52"/>
      <c r="I26" s="52"/>
      <c r="J26" s="50"/>
      <c r="K26" s="68"/>
      <c r="L26" s="171">
        <v>9.0</v>
      </c>
      <c r="M26" s="219" t="s">
        <v>45</v>
      </c>
      <c r="N26" s="220">
        <v>6.0</v>
      </c>
      <c r="O26" s="220">
        <v>8.0</v>
      </c>
      <c r="P26" s="171">
        <v>0.0</v>
      </c>
      <c r="Q26" s="221">
        <v>4.0</v>
      </c>
      <c r="R26" s="222">
        <v>1791.93</v>
      </c>
      <c r="S26" s="222">
        <v>1913.65</v>
      </c>
      <c r="T26" s="171">
        <f>R23-R26</f>
        <v>118.81</v>
      </c>
      <c r="U26" s="52"/>
    </row>
    <row r="27">
      <c r="A27" s="159" t="s">
        <v>150</v>
      </c>
      <c r="B27" s="208" t="s">
        <v>39</v>
      </c>
      <c r="C27" s="161">
        <v>10.0</v>
      </c>
      <c r="D27" s="209" t="s">
        <v>122</v>
      </c>
      <c r="E27" s="210">
        <v>182.18</v>
      </c>
      <c r="F27" s="138"/>
      <c r="G27" s="52"/>
      <c r="H27" s="52"/>
      <c r="I27" s="52"/>
      <c r="J27" s="50"/>
      <c r="K27" s="68"/>
      <c r="L27" s="171">
        <v>10.0</v>
      </c>
      <c r="M27" s="219" t="s">
        <v>32</v>
      </c>
      <c r="N27" s="220">
        <v>5.0</v>
      </c>
      <c r="O27" s="220">
        <v>9.0</v>
      </c>
      <c r="P27" s="171">
        <v>0.0</v>
      </c>
      <c r="Q27" s="221">
        <v>5.0</v>
      </c>
      <c r="R27" s="220">
        <v>1745.11</v>
      </c>
      <c r="S27" s="220">
        <v>1974.39</v>
      </c>
      <c r="T27" s="171">
        <f>R23-R27</f>
        <v>165.63</v>
      </c>
      <c r="U27" s="52"/>
    </row>
    <row r="28">
      <c r="A28" s="159" t="s">
        <v>152</v>
      </c>
      <c r="B28" s="208" t="s">
        <v>45</v>
      </c>
      <c r="C28" s="161">
        <v>10.0</v>
      </c>
      <c r="D28" s="209" t="s">
        <v>122</v>
      </c>
      <c r="E28" s="210">
        <v>170.06</v>
      </c>
      <c r="F28" s="52"/>
      <c r="G28" s="52"/>
      <c r="H28" s="52"/>
      <c r="I28" s="52"/>
      <c r="J28" s="50"/>
      <c r="K28" s="68"/>
      <c r="L28" s="175">
        <v>11.0</v>
      </c>
      <c r="M28" s="219" t="s">
        <v>42</v>
      </c>
      <c r="N28" s="210">
        <v>6.0</v>
      </c>
      <c r="O28" s="210">
        <v>8.0</v>
      </c>
      <c r="P28" s="175">
        <v>0.0</v>
      </c>
      <c r="Q28" s="246">
        <v>4.0</v>
      </c>
      <c r="R28" s="210">
        <v>1710.64</v>
      </c>
      <c r="S28" s="223">
        <v>1822.74</v>
      </c>
      <c r="T28" s="171">
        <f>R23-R28</f>
        <v>200.1</v>
      </c>
      <c r="U28" s="52"/>
    </row>
    <row r="29">
      <c r="A29" s="159" t="s">
        <v>154</v>
      </c>
      <c r="B29" s="208" t="s">
        <v>36</v>
      </c>
      <c r="C29" s="161">
        <v>10.0</v>
      </c>
      <c r="D29" s="209" t="s">
        <v>122</v>
      </c>
      <c r="E29" s="210">
        <v>182.73</v>
      </c>
      <c r="F29" s="52"/>
      <c r="G29" s="52"/>
      <c r="H29" s="52"/>
      <c r="I29" s="52"/>
      <c r="J29" s="50"/>
      <c r="K29" s="68"/>
      <c r="L29" s="175">
        <v>12.0</v>
      </c>
      <c r="M29" s="219" t="s">
        <v>30</v>
      </c>
      <c r="N29" s="220">
        <v>2.0</v>
      </c>
      <c r="O29" s="220">
        <v>12.0</v>
      </c>
      <c r="P29" s="171">
        <v>0.0</v>
      </c>
      <c r="Q29" s="221">
        <v>8.0</v>
      </c>
      <c r="R29" s="220">
        <v>1604.03</v>
      </c>
      <c r="S29" s="220">
        <v>1850.67</v>
      </c>
      <c r="T29" s="171">
        <f>R23-R29</f>
        <v>306.71</v>
      </c>
      <c r="U29" s="52"/>
    </row>
    <row r="30">
      <c r="A30" s="159" t="s">
        <v>156</v>
      </c>
      <c r="B30" s="208" t="s">
        <v>46</v>
      </c>
      <c r="C30" s="161">
        <v>10.0</v>
      </c>
      <c r="D30" s="209" t="s">
        <v>122</v>
      </c>
      <c r="E30" s="237">
        <v>170.91</v>
      </c>
      <c r="F30" s="52"/>
      <c r="G30" s="52"/>
      <c r="H30" s="52"/>
      <c r="I30" s="52"/>
      <c r="J30" s="50"/>
      <c r="K30" s="68"/>
      <c r="L30" s="68"/>
      <c r="M30" s="68"/>
      <c r="N30" s="68"/>
      <c r="O30" s="68"/>
      <c r="P30" s="68"/>
      <c r="Q30" s="68"/>
      <c r="R30" s="68"/>
      <c r="S30" s="68"/>
      <c r="T30" s="52"/>
      <c r="U30" s="52"/>
    </row>
    <row r="31">
      <c r="A31" s="238" t="s">
        <v>75</v>
      </c>
      <c r="B31" s="208" t="s">
        <v>33</v>
      </c>
      <c r="C31" s="233">
        <v>80.0</v>
      </c>
      <c r="D31" s="239" t="s">
        <v>122</v>
      </c>
      <c r="E31" s="240"/>
      <c r="F31" s="52"/>
      <c r="G31" s="52"/>
      <c r="H31" s="52"/>
      <c r="I31" s="52"/>
      <c r="J31" s="50"/>
      <c r="K31" s="68"/>
      <c r="L31" s="68"/>
      <c r="M31" s="68"/>
      <c r="N31" s="68"/>
      <c r="O31" s="68"/>
      <c r="P31" s="68"/>
      <c r="Q31" s="68"/>
      <c r="R31" s="68"/>
      <c r="S31" s="68"/>
      <c r="T31" s="52"/>
      <c r="U31" s="52"/>
    </row>
    <row r="32">
      <c r="A32" s="159" t="s">
        <v>76</v>
      </c>
      <c r="B32" s="208" t="s">
        <v>46</v>
      </c>
      <c r="C32" s="161">
        <v>25.0</v>
      </c>
      <c r="D32" s="209" t="s">
        <v>122</v>
      </c>
      <c r="E32" s="247"/>
      <c r="F32" s="138"/>
      <c r="G32" s="52"/>
      <c r="H32" s="187"/>
      <c r="I32" s="52"/>
      <c r="J32" s="50"/>
      <c r="K32" s="68"/>
      <c r="L32" s="68"/>
      <c r="M32" s="68"/>
      <c r="N32" s="68"/>
      <c r="O32" s="68"/>
      <c r="P32" s="68"/>
      <c r="Q32" s="68"/>
      <c r="R32" s="68"/>
      <c r="S32" s="68"/>
      <c r="T32" s="52"/>
      <c r="U32" s="52"/>
    </row>
    <row r="33">
      <c r="A33" s="159" t="s">
        <v>77</v>
      </c>
      <c r="B33" s="208" t="s">
        <v>35</v>
      </c>
      <c r="C33" s="161">
        <v>50.0</v>
      </c>
      <c r="D33" s="209" t="s">
        <v>122</v>
      </c>
      <c r="E33" s="210">
        <v>189.17</v>
      </c>
      <c r="F33" s="52"/>
      <c r="G33" s="52"/>
      <c r="H33" s="52"/>
      <c r="I33" s="52"/>
      <c r="J33" s="50"/>
      <c r="K33" s="68"/>
      <c r="L33" s="68"/>
      <c r="M33" s="68"/>
      <c r="N33" s="68"/>
      <c r="O33" s="68"/>
      <c r="P33" s="68"/>
      <c r="Q33" s="68"/>
      <c r="R33" s="68"/>
      <c r="S33" s="68"/>
      <c r="T33" s="52"/>
      <c r="U33" s="52"/>
    </row>
    <row r="34">
      <c r="A34" s="159" t="s">
        <v>78</v>
      </c>
      <c r="B34" s="208" t="s">
        <v>38</v>
      </c>
      <c r="C34" s="161">
        <v>100.0</v>
      </c>
      <c r="D34" s="209" t="s">
        <v>122</v>
      </c>
      <c r="E34" s="210">
        <v>126.8</v>
      </c>
      <c r="F34" s="216" t="s">
        <v>174</v>
      </c>
      <c r="G34" s="52"/>
      <c r="H34" s="52"/>
      <c r="I34" s="52"/>
      <c r="J34" s="50"/>
      <c r="K34" s="68"/>
      <c r="L34" s="68"/>
      <c r="M34" s="68"/>
      <c r="N34" s="68"/>
      <c r="O34" s="68"/>
      <c r="P34" s="68"/>
      <c r="Q34" s="68"/>
      <c r="R34" s="68"/>
      <c r="S34" s="68"/>
      <c r="T34" s="52"/>
      <c r="U34" s="52"/>
    </row>
    <row r="35">
      <c r="A35" s="159" t="s">
        <v>79</v>
      </c>
      <c r="B35" s="208" t="s">
        <v>33</v>
      </c>
      <c r="C35" s="233">
        <v>205.0</v>
      </c>
      <c r="D35" s="209" t="s">
        <v>122</v>
      </c>
      <c r="E35" s="210">
        <v>158.3</v>
      </c>
      <c r="F35" s="216" t="s">
        <v>175</v>
      </c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</row>
    <row r="36">
      <c r="A36" s="188" t="s">
        <v>66</v>
      </c>
      <c r="B36" s="136"/>
      <c r="C36" s="189">
        <f>SUM(C17:C35)</f>
        <v>600</v>
      </c>
      <c r="D36" s="50"/>
      <c r="E36" s="50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</row>
    <row r="37">
      <c r="A37" s="234"/>
      <c r="B37" s="191"/>
      <c r="C37" s="192"/>
      <c r="D37" s="50"/>
      <c r="E37" s="50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</row>
    <row r="38">
      <c r="A38" s="248" t="s">
        <v>176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</row>
    <row r="39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</row>
  </sheetData>
  <mergeCells count="2">
    <mergeCell ref="A36:B36"/>
    <mergeCell ref="A37:B3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7.13"/>
    <col customWidth="1" min="3" max="3" width="8.88"/>
    <col customWidth="1" min="4" max="4" width="8.75"/>
    <col customWidth="1" min="5" max="5" width="7.25"/>
    <col customWidth="1" min="6" max="6" width="6.13"/>
    <col customWidth="1" min="7" max="7" width="8.25"/>
    <col customWidth="1" min="8" max="8" width="7.88"/>
    <col customWidth="1" min="9" max="9" width="8.38"/>
    <col customWidth="1" min="10" max="10" width="9.25"/>
    <col customWidth="1" min="11" max="11" width="10.13"/>
    <col customWidth="1" min="12" max="12" width="7.75"/>
    <col customWidth="1" min="13" max="13" width="8.63"/>
    <col customWidth="1" min="14" max="14" width="7.38"/>
    <col customWidth="1" min="15" max="15" width="7.0"/>
    <col customWidth="1" min="16" max="16" width="7.13"/>
    <col customWidth="1" min="17" max="17" width="7.38"/>
    <col customWidth="1" min="18" max="18" width="6.5"/>
    <col customWidth="1" min="19" max="19" width="8.25"/>
    <col customWidth="1" min="20" max="20" width="8.0"/>
  </cols>
  <sheetData>
    <row r="1">
      <c r="A1" s="139" t="s">
        <v>0</v>
      </c>
      <c r="B1" s="140" t="s">
        <v>108</v>
      </c>
      <c r="C1" s="140" t="s">
        <v>108</v>
      </c>
      <c r="D1" s="140" t="s">
        <v>76</v>
      </c>
      <c r="E1" s="140" t="s">
        <v>77</v>
      </c>
      <c r="F1" s="140" t="s">
        <v>78</v>
      </c>
      <c r="G1" s="140" t="s">
        <v>109</v>
      </c>
      <c r="H1" s="140" t="s">
        <v>110</v>
      </c>
      <c r="I1" s="140" t="s">
        <v>111</v>
      </c>
      <c r="J1" s="140" t="s">
        <v>177</v>
      </c>
      <c r="K1" s="140" t="s">
        <v>113</v>
      </c>
      <c r="L1" s="50"/>
      <c r="M1" s="50"/>
      <c r="N1" s="194" t="s">
        <v>67</v>
      </c>
      <c r="O1" s="194" t="s">
        <v>114</v>
      </c>
      <c r="P1" s="194" t="s">
        <v>115</v>
      </c>
      <c r="Q1" s="52"/>
      <c r="R1" s="50"/>
      <c r="S1" s="195"/>
      <c r="T1" s="195"/>
      <c r="U1" s="195"/>
      <c r="V1" s="52"/>
    </row>
    <row r="2">
      <c r="A2" s="142" t="s">
        <v>46</v>
      </c>
      <c r="B2" s="249">
        <v>1.0</v>
      </c>
      <c r="C2" s="130">
        <f t="shared" ref="C2:C13" si="1">10*B2</f>
        <v>10</v>
      </c>
      <c r="D2" s="130">
        <v>0.0</v>
      </c>
      <c r="E2" s="130">
        <v>50.0</v>
      </c>
      <c r="F2" s="130">
        <v>0.0</v>
      </c>
      <c r="G2" s="144">
        <v>0.0</v>
      </c>
      <c r="H2" s="130">
        <f t="shared" ref="H2:H13" si="2">sum(C2:G2)</f>
        <v>60</v>
      </c>
      <c r="I2" s="145">
        <f t="shared" ref="I2:I13" si="3">O2</f>
        <v>75</v>
      </c>
      <c r="J2" s="130">
        <f t="shared" ref="J2:J13" si="4">I2-50</f>
        <v>25</v>
      </c>
      <c r="K2" s="130">
        <f t="shared" ref="K2:K13" si="5">H2-I2</f>
        <v>-15</v>
      </c>
      <c r="L2" s="50"/>
      <c r="M2" s="50"/>
      <c r="N2" s="199" t="s">
        <v>46</v>
      </c>
      <c r="O2" s="243">
        <v>75.0</v>
      </c>
      <c r="P2" s="242">
        <f t="shared" ref="P2:P13" si="6">O2-75</f>
        <v>0</v>
      </c>
      <c r="Q2" s="52"/>
      <c r="R2" s="50"/>
      <c r="S2" s="195"/>
      <c r="T2" s="195"/>
      <c r="U2" s="195"/>
      <c r="V2" s="52"/>
    </row>
    <row r="3">
      <c r="A3" s="142" t="s">
        <v>38</v>
      </c>
      <c r="B3" s="249">
        <v>5.0</v>
      </c>
      <c r="C3" s="130">
        <f t="shared" si="1"/>
        <v>50</v>
      </c>
      <c r="D3" s="130">
        <v>0.0</v>
      </c>
      <c r="E3" s="130">
        <v>0.0</v>
      </c>
      <c r="F3" s="130">
        <v>0.0</v>
      </c>
      <c r="G3" s="130">
        <v>0.0</v>
      </c>
      <c r="H3" s="130">
        <f t="shared" si="2"/>
        <v>50</v>
      </c>
      <c r="I3" s="145">
        <f t="shared" si="3"/>
        <v>75</v>
      </c>
      <c r="J3" s="130">
        <f t="shared" si="4"/>
        <v>25</v>
      </c>
      <c r="K3" s="130">
        <f t="shared" si="5"/>
        <v>-25</v>
      </c>
      <c r="L3" s="50"/>
      <c r="M3" s="134"/>
      <c r="N3" s="199" t="s">
        <v>38</v>
      </c>
      <c r="O3" s="243">
        <v>75.0</v>
      </c>
      <c r="P3" s="242">
        <f t="shared" si="6"/>
        <v>0</v>
      </c>
      <c r="Q3" s="52"/>
      <c r="R3" s="50"/>
      <c r="S3" s="195"/>
      <c r="T3" s="195"/>
      <c r="U3" s="195"/>
      <c r="V3" s="52"/>
    </row>
    <row r="4">
      <c r="A4" s="142" t="s">
        <v>36</v>
      </c>
      <c r="B4" s="249">
        <v>2.0</v>
      </c>
      <c r="C4" s="130">
        <f t="shared" si="1"/>
        <v>20</v>
      </c>
      <c r="D4" s="130">
        <v>0.0</v>
      </c>
      <c r="E4" s="130">
        <v>0.0</v>
      </c>
      <c r="F4" s="130">
        <v>0.0</v>
      </c>
      <c r="G4" s="130">
        <v>0.0</v>
      </c>
      <c r="H4" s="130">
        <f t="shared" si="2"/>
        <v>20</v>
      </c>
      <c r="I4" s="145">
        <f t="shared" si="3"/>
        <v>75</v>
      </c>
      <c r="J4" s="130">
        <f t="shared" si="4"/>
        <v>25</v>
      </c>
      <c r="K4" s="130">
        <f t="shared" si="5"/>
        <v>-55</v>
      </c>
      <c r="L4" s="50"/>
      <c r="M4" s="50"/>
      <c r="N4" s="199" t="s">
        <v>36</v>
      </c>
      <c r="O4" s="243">
        <v>75.0</v>
      </c>
      <c r="P4" s="242">
        <f t="shared" si="6"/>
        <v>0</v>
      </c>
      <c r="Q4" s="52"/>
      <c r="R4" s="50"/>
      <c r="S4" s="195"/>
      <c r="T4" s="195"/>
      <c r="U4" s="195"/>
      <c r="V4" s="52"/>
    </row>
    <row r="5">
      <c r="A5" s="142" t="s">
        <v>37</v>
      </c>
      <c r="B5" s="249">
        <v>0.0</v>
      </c>
      <c r="C5" s="130">
        <f t="shared" si="1"/>
        <v>0</v>
      </c>
      <c r="D5" s="130">
        <v>0.0</v>
      </c>
      <c r="E5" s="130">
        <v>0.0</v>
      </c>
      <c r="F5" s="130">
        <v>0.0</v>
      </c>
      <c r="G5" s="130">
        <v>0.0</v>
      </c>
      <c r="H5" s="130">
        <f t="shared" si="2"/>
        <v>0</v>
      </c>
      <c r="I5" s="145">
        <f t="shared" si="3"/>
        <v>75</v>
      </c>
      <c r="J5" s="130">
        <f t="shared" si="4"/>
        <v>25</v>
      </c>
      <c r="K5" s="130">
        <f t="shared" si="5"/>
        <v>-75</v>
      </c>
      <c r="L5" s="50"/>
      <c r="M5" s="50"/>
      <c r="N5" s="199" t="s">
        <v>37</v>
      </c>
      <c r="O5" s="243">
        <v>75.0</v>
      </c>
      <c r="P5" s="242">
        <f t="shared" si="6"/>
        <v>0</v>
      </c>
      <c r="Q5" s="52"/>
      <c r="R5" s="50"/>
      <c r="S5" s="195"/>
      <c r="T5" s="195"/>
      <c r="U5" s="195"/>
      <c r="V5" s="52"/>
    </row>
    <row r="6">
      <c r="A6" s="202" t="s">
        <v>33</v>
      </c>
      <c r="B6" s="249">
        <v>1.0</v>
      </c>
      <c r="C6" s="130">
        <f t="shared" si="1"/>
        <v>10</v>
      </c>
      <c r="D6" s="130">
        <v>25.0</v>
      </c>
      <c r="E6" s="130">
        <v>0.0</v>
      </c>
      <c r="F6" s="130">
        <v>0.0</v>
      </c>
      <c r="G6" s="130">
        <v>0.0</v>
      </c>
      <c r="H6" s="130">
        <f t="shared" si="2"/>
        <v>35</v>
      </c>
      <c r="I6" s="145">
        <f t="shared" si="3"/>
        <v>75</v>
      </c>
      <c r="J6" s="130">
        <f t="shared" si="4"/>
        <v>25</v>
      </c>
      <c r="K6" s="130">
        <f t="shared" si="5"/>
        <v>-40</v>
      </c>
      <c r="L6" s="50"/>
      <c r="M6" s="50"/>
      <c r="N6" s="204" t="s">
        <v>33</v>
      </c>
      <c r="O6" s="243">
        <v>75.0</v>
      </c>
      <c r="P6" s="242">
        <f t="shared" si="6"/>
        <v>0</v>
      </c>
      <c r="Q6" s="52"/>
      <c r="R6" s="50"/>
      <c r="S6" s="195"/>
      <c r="T6" s="195"/>
      <c r="U6" s="195"/>
      <c r="V6" s="52"/>
    </row>
    <row r="7">
      <c r="A7" s="142" t="s">
        <v>31</v>
      </c>
      <c r="B7" s="249">
        <v>0.0</v>
      </c>
      <c r="C7" s="130">
        <f t="shared" si="1"/>
        <v>0</v>
      </c>
      <c r="D7" s="130">
        <v>0.0</v>
      </c>
      <c r="E7" s="130">
        <v>0.0</v>
      </c>
      <c r="F7" s="130">
        <v>0.0</v>
      </c>
      <c r="G7" s="130">
        <v>0.0</v>
      </c>
      <c r="H7" s="130">
        <f t="shared" si="2"/>
        <v>0</v>
      </c>
      <c r="I7" s="145">
        <f t="shared" si="3"/>
        <v>75</v>
      </c>
      <c r="J7" s="130">
        <f t="shared" si="4"/>
        <v>25</v>
      </c>
      <c r="K7" s="130">
        <f t="shared" si="5"/>
        <v>-75</v>
      </c>
      <c r="L7" s="50"/>
      <c r="M7" s="50"/>
      <c r="N7" s="199" t="s">
        <v>31</v>
      </c>
      <c r="O7" s="243">
        <v>75.0</v>
      </c>
      <c r="P7" s="242">
        <f t="shared" si="6"/>
        <v>0</v>
      </c>
      <c r="Q7" s="52"/>
      <c r="R7" s="50"/>
      <c r="S7" s="195"/>
      <c r="T7" s="195"/>
      <c r="U7" s="195"/>
      <c r="V7" s="52"/>
    </row>
    <row r="8">
      <c r="A8" s="142" t="s">
        <v>35</v>
      </c>
      <c r="B8" s="249">
        <v>0.0</v>
      </c>
      <c r="C8" s="130">
        <f t="shared" si="1"/>
        <v>0</v>
      </c>
      <c r="D8" s="130">
        <v>0.0</v>
      </c>
      <c r="E8" s="130">
        <v>0.0</v>
      </c>
      <c r="F8" s="130">
        <v>0.0</v>
      </c>
      <c r="G8" s="130">
        <v>0.0</v>
      </c>
      <c r="H8" s="130">
        <f t="shared" si="2"/>
        <v>0</v>
      </c>
      <c r="I8" s="145">
        <f t="shared" si="3"/>
        <v>75</v>
      </c>
      <c r="J8" s="130">
        <f t="shared" si="4"/>
        <v>25</v>
      </c>
      <c r="K8" s="130">
        <f t="shared" si="5"/>
        <v>-75</v>
      </c>
      <c r="L8" s="50"/>
      <c r="M8" s="50"/>
      <c r="N8" s="199" t="s">
        <v>35</v>
      </c>
      <c r="O8" s="243">
        <v>75.0</v>
      </c>
      <c r="P8" s="242">
        <f t="shared" si="6"/>
        <v>0</v>
      </c>
      <c r="Q8" s="52"/>
      <c r="R8" s="50"/>
      <c r="S8" s="195"/>
      <c r="T8" s="195"/>
      <c r="U8" s="195"/>
      <c r="V8" s="52"/>
    </row>
    <row r="9">
      <c r="A9" s="142" t="s">
        <v>34</v>
      </c>
      <c r="B9" s="249">
        <v>1.0</v>
      </c>
      <c r="C9" s="130">
        <f t="shared" si="1"/>
        <v>10</v>
      </c>
      <c r="D9" s="130">
        <v>0.0</v>
      </c>
      <c r="E9" s="130">
        <v>0.0</v>
      </c>
      <c r="F9" s="130">
        <v>0.0</v>
      </c>
      <c r="G9" s="130">
        <v>280.0</v>
      </c>
      <c r="H9" s="130">
        <f t="shared" si="2"/>
        <v>290</v>
      </c>
      <c r="I9" s="145">
        <f t="shared" si="3"/>
        <v>75</v>
      </c>
      <c r="J9" s="130">
        <f t="shared" si="4"/>
        <v>25</v>
      </c>
      <c r="K9" s="130">
        <f t="shared" si="5"/>
        <v>215</v>
      </c>
      <c r="L9" s="50"/>
      <c r="M9" s="50"/>
      <c r="N9" s="199" t="s">
        <v>34</v>
      </c>
      <c r="O9" s="243">
        <v>75.0</v>
      </c>
      <c r="P9" s="242">
        <f t="shared" si="6"/>
        <v>0</v>
      </c>
      <c r="Q9" s="52"/>
      <c r="R9" s="50"/>
      <c r="S9" s="195"/>
      <c r="T9" s="195"/>
      <c r="U9" s="195"/>
      <c r="V9" s="52"/>
    </row>
    <row r="10">
      <c r="A10" s="142" t="s">
        <v>178</v>
      </c>
      <c r="B10" s="249">
        <v>0.0</v>
      </c>
      <c r="C10" s="130">
        <f t="shared" si="1"/>
        <v>0</v>
      </c>
      <c r="D10" s="130">
        <v>0.0</v>
      </c>
      <c r="E10" s="130">
        <v>0.0</v>
      </c>
      <c r="F10" s="130">
        <v>0.0</v>
      </c>
      <c r="G10" s="130">
        <v>0.0</v>
      </c>
      <c r="H10" s="130">
        <f t="shared" si="2"/>
        <v>0</v>
      </c>
      <c r="I10" s="145">
        <f t="shared" si="3"/>
        <v>75</v>
      </c>
      <c r="J10" s="130">
        <f t="shared" si="4"/>
        <v>25</v>
      </c>
      <c r="K10" s="130">
        <f t="shared" si="5"/>
        <v>-75</v>
      </c>
      <c r="L10" s="50"/>
      <c r="M10" s="50"/>
      <c r="N10" s="199" t="s">
        <v>178</v>
      </c>
      <c r="O10" s="243">
        <v>75.0</v>
      </c>
      <c r="P10" s="242">
        <f t="shared" si="6"/>
        <v>0</v>
      </c>
      <c r="Q10" s="52"/>
      <c r="R10" s="50"/>
      <c r="S10" s="195"/>
      <c r="T10" s="195"/>
      <c r="U10" s="195"/>
      <c r="V10" s="52"/>
    </row>
    <row r="11">
      <c r="A11" s="142" t="s">
        <v>42</v>
      </c>
      <c r="B11" s="249">
        <v>1.0</v>
      </c>
      <c r="C11" s="130">
        <f t="shared" si="1"/>
        <v>10</v>
      </c>
      <c r="D11" s="130">
        <v>0.0</v>
      </c>
      <c r="E11" s="130">
        <v>0.0</v>
      </c>
      <c r="F11" s="130">
        <v>0.0</v>
      </c>
      <c r="G11" s="130">
        <v>0.0</v>
      </c>
      <c r="H11" s="130">
        <f t="shared" si="2"/>
        <v>10</v>
      </c>
      <c r="I11" s="145">
        <f t="shared" si="3"/>
        <v>75</v>
      </c>
      <c r="J11" s="130">
        <f t="shared" si="4"/>
        <v>25</v>
      </c>
      <c r="K11" s="130">
        <f t="shared" si="5"/>
        <v>-65</v>
      </c>
      <c r="L11" s="50"/>
      <c r="M11" s="50"/>
      <c r="N11" s="199" t="s">
        <v>42</v>
      </c>
      <c r="O11" s="243">
        <v>75.0</v>
      </c>
      <c r="P11" s="242">
        <f t="shared" si="6"/>
        <v>0</v>
      </c>
      <c r="Q11" s="52"/>
      <c r="R11" s="50"/>
      <c r="S11" s="195"/>
      <c r="T11" s="195"/>
      <c r="U11" s="195"/>
      <c r="V11" s="52"/>
    </row>
    <row r="12">
      <c r="A12" s="142" t="s">
        <v>39</v>
      </c>
      <c r="B12" s="249">
        <v>3.0</v>
      </c>
      <c r="C12" s="130">
        <f t="shared" si="1"/>
        <v>30</v>
      </c>
      <c r="D12" s="130">
        <v>0.0</v>
      </c>
      <c r="E12" s="130">
        <v>0.0</v>
      </c>
      <c r="F12" s="130">
        <v>100.0</v>
      </c>
      <c r="G12" s="130">
        <v>0.0</v>
      </c>
      <c r="H12" s="130">
        <f t="shared" si="2"/>
        <v>130</v>
      </c>
      <c r="I12" s="145">
        <f t="shared" si="3"/>
        <v>75</v>
      </c>
      <c r="J12" s="130">
        <f t="shared" si="4"/>
        <v>25</v>
      </c>
      <c r="K12" s="130">
        <f t="shared" si="5"/>
        <v>55</v>
      </c>
      <c r="L12" s="50"/>
      <c r="M12" s="50"/>
      <c r="N12" s="199" t="s">
        <v>39</v>
      </c>
      <c r="O12" s="243">
        <v>75.0</v>
      </c>
      <c r="P12" s="242">
        <f t="shared" si="6"/>
        <v>0</v>
      </c>
      <c r="Q12" s="52"/>
      <c r="R12" s="50"/>
      <c r="S12" s="195"/>
      <c r="T12" s="195"/>
      <c r="U12" s="195"/>
      <c r="V12" s="52"/>
    </row>
    <row r="13">
      <c r="A13" s="142" t="s">
        <v>30</v>
      </c>
      <c r="B13" s="249">
        <v>0.0</v>
      </c>
      <c r="C13" s="130">
        <f t="shared" si="1"/>
        <v>0</v>
      </c>
      <c r="D13" s="130">
        <v>0.0</v>
      </c>
      <c r="E13" s="130">
        <v>0.0</v>
      </c>
      <c r="F13" s="130">
        <v>0.0</v>
      </c>
      <c r="G13" s="130">
        <v>0.0</v>
      </c>
      <c r="H13" s="130">
        <f t="shared" si="2"/>
        <v>0</v>
      </c>
      <c r="I13" s="145">
        <f t="shared" si="3"/>
        <v>75</v>
      </c>
      <c r="J13" s="130">
        <f t="shared" si="4"/>
        <v>25</v>
      </c>
      <c r="K13" s="130">
        <f t="shared" si="5"/>
        <v>-75</v>
      </c>
      <c r="L13" s="50"/>
      <c r="M13" s="50"/>
      <c r="N13" s="199" t="s">
        <v>30</v>
      </c>
      <c r="O13" s="243">
        <v>75.0</v>
      </c>
      <c r="P13" s="242">
        <f t="shared" si="6"/>
        <v>0</v>
      </c>
      <c r="Q13" s="52"/>
      <c r="R13" s="50"/>
      <c r="S13" s="195"/>
      <c r="T13" s="195"/>
      <c r="U13" s="195"/>
      <c r="V13" s="52"/>
    </row>
    <row r="14">
      <c r="A14" s="50"/>
      <c r="B14" s="50"/>
      <c r="C14" s="152">
        <f t="shared" ref="C14:I14" si="7">SUM(C2:C13)</f>
        <v>140</v>
      </c>
      <c r="D14" s="152">
        <f t="shared" si="7"/>
        <v>25</v>
      </c>
      <c r="E14" s="152">
        <f t="shared" si="7"/>
        <v>50</v>
      </c>
      <c r="F14" s="152">
        <f t="shared" si="7"/>
        <v>100</v>
      </c>
      <c r="G14" s="152">
        <f t="shared" si="7"/>
        <v>280</v>
      </c>
      <c r="H14" s="152">
        <f t="shared" si="7"/>
        <v>595</v>
      </c>
      <c r="I14" s="152">
        <f t="shared" si="7"/>
        <v>900</v>
      </c>
      <c r="J14" s="153">
        <f>sum(J2:J13)</f>
        <v>300</v>
      </c>
      <c r="K14" s="152">
        <f>SUM(K2:K13)</f>
        <v>-305</v>
      </c>
      <c r="L14" s="52"/>
      <c r="M14" s="50"/>
      <c r="N14" s="205" t="s">
        <v>66</v>
      </c>
      <c r="O14" s="244">
        <f t="shared" ref="O14:P14" si="8">SUM(O2:O13)</f>
        <v>900</v>
      </c>
      <c r="P14" s="245">
        <f t="shared" si="8"/>
        <v>0</v>
      </c>
      <c r="Q14" s="52"/>
      <c r="R14" s="50"/>
      <c r="S14" s="195"/>
      <c r="T14" s="195"/>
      <c r="U14" s="195"/>
      <c r="V14" s="52"/>
    </row>
    <row r="15">
      <c r="A15" s="50"/>
      <c r="B15" s="50"/>
      <c r="C15" s="50"/>
      <c r="D15" s="50"/>
      <c r="E15" s="50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</row>
    <row r="16">
      <c r="A16" s="207" t="s">
        <v>118</v>
      </c>
      <c r="B16" s="158" t="s">
        <v>0</v>
      </c>
      <c r="C16" s="158" t="s">
        <v>119</v>
      </c>
      <c r="D16" s="158" t="s">
        <v>114</v>
      </c>
      <c r="E16" s="158" t="s">
        <v>120</v>
      </c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</row>
    <row r="17">
      <c r="A17" s="159" t="s">
        <v>121</v>
      </c>
      <c r="B17" s="250" t="s">
        <v>38</v>
      </c>
      <c r="C17" s="161">
        <v>10.0</v>
      </c>
      <c r="D17" s="162" t="s">
        <v>122</v>
      </c>
      <c r="E17" s="175">
        <v>201.53</v>
      </c>
      <c r="F17" s="52"/>
      <c r="G17" s="52"/>
      <c r="H17" s="52"/>
      <c r="I17" s="52"/>
      <c r="J17" s="52"/>
      <c r="K17" s="68"/>
      <c r="L17" s="164" t="s">
        <v>123</v>
      </c>
      <c r="M17" s="164" t="s">
        <v>124</v>
      </c>
      <c r="N17" s="164" t="s">
        <v>125</v>
      </c>
      <c r="O17" s="164" t="s">
        <v>126</v>
      </c>
      <c r="P17" s="164" t="s">
        <v>127</v>
      </c>
      <c r="Q17" s="164" t="s">
        <v>128</v>
      </c>
      <c r="R17" s="164" t="s">
        <v>129</v>
      </c>
      <c r="S17" s="164" t="s">
        <v>130</v>
      </c>
      <c r="T17" s="164" t="s">
        <v>131</v>
      </c>
      <c r="U17" s="52"/>
      <c r="V17" s="52"/>
    </row>
    <row r="18">
      <c r="A18" s="159" t="s">
        <v>132</v>
      </c>
      <c r="B18" s="250" t="s">
        <v>38</v>
      </c>
      <c r="C18" s="161">
        <v>10.0</v>
      </c>
      <c r="D18" s="162" t="s">
        <v>122</v>
      </c>
      <c r="E18" s="175">
        <v>195.26</v>
      </c>
      <c r="F18" s="52"/>
      <c r="G18" s="52"/>
      <c r="H18" s="52"/>
      <c r="I18" s="52"/>
      <c r="J18" s="52"/>
      <c r="K18" s="68"/>
      <c r="L18" s="165">
        <v>1.0</v>
      </c>
      <c r="M18" s="251" t="s">
        <v>179</v>
      </c>
      <c r="N18" s="165">
        <v>11.0</v>
      </c>
      <c r="O18" s="165">
        <v>3.0</v>
      </c>
      <c r="P18" s="165">
        <v>0.0</v>
      </c>
      <c r="Q18" s="168">
        <v>0.0</v>
      </c>
      <c r="R18" s="252">
        <v>1998.46</v>
      </c>
      <c r="S18" s="252">
        <v>1732.39</v>
      </c>
      <c r="T18" s="165">
        <f>R23-R18</f>
        <v>12.37</v>
      </c>
      <c r="U18" s="52"/>
      <c r="V18" s="52"/>
    </row>
    <row r="19">
      <c r="A19" s="159" t="s">
        <v>134</v>
      </c>
      <c r="B19" s="250" t="s">
        <v>39</v>
      </c>
      <c r="C19" s="161">
        <v>10.0</v>
      </c>
      <c r="D19" s="162" t="s">
        <v>122</v>
      </c>
      <c r="E19" s="175">
        <v>198.27</v>
      </c>
      <c r="F19" s="52"/>
      <c r="G19" s="52"/>
      <c r="H19" s="52"/>
      <c r="I19" s="52"/>
      <c r="J19" s="52"/>
      <c r="K19" s="68"/>
      <c r="L19" s="165">
        <v>2.0</v>
      </c>
      <c r="M19" s="251" t="s">
        <v>180</v>
      </c>
      <c r="N19" s="165">
        <v>10.0</v>
      </c>
      <c r="O19" s="165">
        <v>4.0</v>
      </c>
      <c r="P19" s="165">
        <v>0.0</v>
      </c>
      <c r="Q19" s="168">
        <v>1.0</v>
      </c>
      <c r="R19" s="252">
        <v>1969.56</v>
      </c>
      <c r="S19" s="252">
        <v>1899.64</v>
      </c>
      <c r="T19" s="165">
        <f>R23-R19</f>
        <v>41.27</v>
      </c>
      <c r="U19" s="52"/>
      <c r="V19" s="52"/>
    </row>
    <row r="20">
      <c r="A20" s="159" t="s">
        <v>136</v>
      </c>
      <c r="B20" s="250" t="s">
        <v>38</v>
      </c>
      <c r="C20" s="161">
        <v>10.0</v>
      </c>
      <c r="D20" s="162" t="s">
        <v>122</v>
      </c>
      <c r="E20" s="175">
        <v>206.08</v>
      </c>
      <c r="F20" s="52"/>
      <c r="G20" s="52"/>
      <c r="H20" s="52"/>
      <c r="I20" s="52"/>
      <c r="J20" s="52"/>
      <c r="K20" s="68"/>
      <c r="L20" s="165">
        <v>3.0</v>
      </c>
      <c r="M20" s="251" t="s">
        <v>181</v>
      </c>
      <c r="N20" s="165">
        <v>9.0</v>
      </c>
      <c r="O20" s="165">
        <v>5.0</v>
      </c>
      <c r="P20" s="165">
        <v>0.0</v>
      </c>
      <c r="Q20" s="168">
        <v>2.0</v>
      </c>
      <c r="R20" s="252">
        <v>2312.16</v>
      </c>
      <c r="S20" s="252">
        <v>2016.18</v>
      </c>
      <c r="T20" s="165">
        <f>R23-R20</f>
        <v>-301.33</v>
      </c>
      <c r="U20" s="52"/>
      <c r="V20" s="52"/>
    </row>
    <row r="21">
      <c r="A21" s="159" t="s">
        <v>138</v>
      </c>
      <c r="B21" s="250" t="s">
        <v>39</v>
      </c>
      <c r="C21" s="161">
        <v>10.0</v>
      </c>
      <c r="D21" s="162" t="s">
        <v>122</v>
      </c>
      <c r="E21" s="175">
        <v>222.8</v>
      </c>
      <c r="F21" s="52"/>
      <c r="G21" s="52"/>
      <c r="H21" s="52"/>
      <c r="I21" s="52"/>
      <c r="J21" s="52"/>
      <c r="K21" s="68"/>
      <c r="L21" s="165">
        <v>4.0</v>
      </c>
      <c r="M21" s="251" t="s">
        <v>182</v>
      </c>
      <c r="N21" s="165">
        <v>9.0</v>
      </c>
      <c r="O21" s="165">
        <v>5.0</v>
      </c>
      <c r="P21" s="165">
        <v>0.0</v>
      </c>
      <c r="Q21" s="168">
        <v>2.0</v>
      </c>
      <c r="R21" s="252">
        <v>2118.83</v>
      </c>
      <c r="S21" s="252">
        <v>1934.22</v>
      </c>
      <c r="T21" s="165">
        <f>R23-R21</f>
        <v>-108</v>
      </c>
      <c r="U21" s="52"/>
      <c r="V21" s="52"/>
    </row>
    <row r="22">
      <c r="A22" s="159" t="s">
        <v>140</v>
      </c>
      <c r="B22" s="250" t="s">
        <v>46</v>
      </c>
      <c r="C22" s="161">
        <v>10.0</v>
      </c>
      <c r="D22" s="162" t="s">
        <v>122</v>
      </c>
      <c r="E22" s="175">
        <v>226.58</v>
      </c>
      <c r="F22" s="52"/>
      <c r="G22" s="52"/>
      <c r="H22" s="52"/>
      <c r="I22" s="52"/>
      <c r="J22" s="50"/>
      <c r="K22" s="68"/>
      <c r="L22" s="165">
        <v>5.0</v>
      </c>
      <c r="M22" s="251" t="s">
        <v>183</v>
      </c>
      <c r="N22" s="165">
        <v>7.0</v>
      </c>
      <c r="O22" s="165">
        <v>7.0</v>
      </c>
      <c r="P22" s="165">
        <v>0.0</v>
      </c>
      <c r="Q22" s="168">
        <v>4.0</v>
      </c>
      <c r="R22" s="252">
        <v>2014.79</v>
      </c>
      <c r="S22" s="252">
        <v>1993.07</v>
      </c>
      <c r="T22" s="165">
        <f>R23-R22</f>
        <v>-3.96</v>
      </c>
      <c r="U22" s="52"/>
      <c r="V22" s="52"/>
    </row>
    <row r="23">
      <c r="A23" s="159" t="s">
        <v>142</v>
      </c>
      <c r="B23" s="250" t="s">
        <v>38</v>
      </c>
      <c r="C23" s="161">
        <v>10.0</v>
      </c>
      <c r="D23" s="162" t="s">
        <v>122</v>
      </c>
      <c r="E23" s="175">
        <v>152.52</v>
      </c>
      <c r="F23" s="52"/>
      <c r="G23" s="52"/>
      <c r="H23" s="52"/>
      <c r="I23" s="52"/>
      <c r="J23" s="50"/>
      <c r="K23" s="68"/>
      <c r="L23" s="165">
        <v>6.0</v>
      </c>
      <c r="M23" s="251" t="s">
        <v>151</v>
      </c>
      <c r="N23" s="165">
        <v>8.0</v>
      </c>
      <c r="O23" s="165">
        <v>6.0</v>
      </c>
      <c r="P23" s="165">
        <v>0.0</v>
      </c>
      <c r="Q23" s="168">
        <v>3.0</v>
      </c>
      <c r="R23" s="252">
        <v>2010.83</v>
      </c>
      <c r="S23" s="252">
        <v>1843.8</v>
      </c>
      <c r="T23" s="165">
        <f>R23-R23</f>
        <v>0</v>
      </c>
      <c r="U23" s="52"/>
      <c r="V23" s="52"/>
    </row>
    <row r="24">
      <c r="A24" s="159" t="s">
        <v>144</v>
      </c>
      <c r="B24" s="250" t="s">
        <v>38</v>
      </c>
      <c r="C24" s="161">
        <v>10.0</v>
      </c>
      <c r="D24" s="162" t="s">
        <v>122</v>
      </c>
      <c r="E24" s="175">
        <v>195.31</v>
      </c>
      <c r="F24" s="52"/>
      <c r="G24" s="52"/>
      <c r="H24" s="52"/>
      <c r="I24" s="52"/>
      <c r="J24" s="50"/>
      <c r="K24" s="68"/>
      <c r="L24" s="171">
        <v>7.0</v>
      </c>
      <c r="M24" s="253" t="s">
        <v>149</v>
      </c>
      <c r="N24" s="171">
        <v>8.0</v>
      </c>
      <c r="O24" s="171">
        <v>6.0</v>
      </c>
      <c r="P24" s="171">
        <v>0.0</v>
      </c>
      <c r="Q24" s="174">
        <v>3.0</v>
      </c>
      <c r="R24" s="254">
        <v>2009.86</v>
      </c>
      <c r="S24" s="171">
        <v>1798.18</v>
      </c>
      <c r="T24" s="171">
        <f>R23-R24</f>
        <v>0.97</v>
      </c>
      <c r="U24" s="52"/>
      <c r="V24" s="52"/>
    </row>
    <row r="25">
      <c r="A25" s="159" t="s">
        <v>146</v>
      </c>
      <c r="B25" s="250" t="s">
        <v>39</v>
      </c>
      <c r="C25" s="161">
        <v>10.0</v>
      </c>
      <c r="D25" s="162" t="s">
        <v>122</v>
      </c>
      <c r="E25" s="175">
        <v>187.2</v>
      </c>
      <c r="F25" s="52"/>
      <c r="G25" s="52"/>
      <c r="H25" s="52"/>
      <c r="I25" s="52"/>
      <c r="J25" s="50"/>
      <c r="K25" s="68"/>
      <c r="L25" s="171">
        <v>8.0</v>
      </c>
      <c r="M25" s="253" t="s">
        <v>184</v>
      </c>
      <c r="N25" s="171">
        <v>8.0</v>
      </c>
      <c r="O25" s="171">
        <v>6.0</v>
      </c>
      <c r="P25" s="171">
        <v>0.0</v>
      </c>
      <c r="Q25" s="174">
        <v>3.0</v>
      </c>
      <c r="R25" s="171">
        <v>1938.66</v>
      </c>
      <c r="S25" s="171">
        <v>1862.92</v>
      </c>
      <c r="T25" s="171">
        <f>R23-R25</f>
        <v>72.17</v>
      </c>
      <c r="U25" s="52"/>
      <c r="V25" s="52"/>
    </row>
    <row r="26">
      <c r="A26" s="159" t="s">
        <v>148</v>
      </c>
      <c r="B26" s="250" t="s">
        <v>42</v>
      </c>
      <c r="C26" s="161">
        <v>10.0</v>
      </c>
      <c r="D26" s="162" t="s">
        <v>122</v>
      </c>
      <c r="E26" s="175">
        <v>164.32</v>
      </c>
      <c r="F26" s="52"/>
      <c r="G26" s="52"/>
      <c r="H26" s="52"/>
      <c r="I26" s="52"/>
      <c r="J26" s="50"/>
      <c r="K26" s="68"/>
      <c r="L26" s="171">
        <v>9.0</v>
      </c>
      <c r="M26" s="253" t="s">
        <v>185</v>
      </c>
      <c r="N26" s="171">
        <v>4.0</v>
      </c>
      <c r="O26" s="171">
        <v>10.0</v>
      </c>
      <c r="P26" s="171">
        <v>0.0</v>
      </c>
      <c r="Q26" s="174">
        <v>7.0</v>
      </c>
      <c r="R26" s="171">
        <v>1841.82</v>
      </c>
      <c r="S26" s="171">
        <v>2089.69</v>
      </c>
      <c r="T26" s="171">
        <f>R23-R26</f>
        <v>169.01</v>
      </c>
      <c r="U26" s="52"/>
      <c r="V26" s="52"/>
    </row>
    <row r="27">
      <c r="A27" s="159" t="s">
        <v>150</v>
      </c>
      <c r="B27" s="208" t="s">
        <v>33</v>
      </c>
      <c r="C27" s="161">
        <v>10.0</v>
      </c>
      <c r="D27" s="162" t="s">
        <v>122</v>
      </c>
      <c r="E27" s="175">
        <v>197.3</v>
      </c>
      <c r="F27" s="138" t="s">
        <v>186</v>
      </c>
      <c r="G27" s="52"/>
      <c r="H27" s="52"/>
      <c r="I27" s="52"/>
      <c r="J27" s="50"/>
      <c r="K27" s="68"/>
      <c r="L27" s="171">
        <v>10.0</v>
      </c>
      <c r="M27" s="253" t="s">
        <v>187</v>
      </c>
      <c r="N27" s="171">
        <v>2.0</v>
      </c>
      <c r="O27" s="171">
        <v>12.0</v>
      </c>
      <c r="P27" s="171">
        <v>0.0</v>
      </c>
      <c r="Q27" s="174">
        <v>9.0</v>
      </c>
      <c r="R27" s="171">
        <v>1733.14</v>
      </c>
      <c r="S27" s="254">
        <v>2186.02</v>
      </c>
      <c r="T27" s="171">
        <f>R23-R27</f>
        <v>277.69</v>
      </c>
      <c r="U27" s="52"/>
      <c r="V27" s="52"/>
    </row>
    <row r="28">
      <c r="A28" s="159" t="s">
        <v>152</v>
      </c>
      <c r="B28" s="250" t="s">
        <v>36</v>
      </c>
      <c r="C28" s="161">
        <v>10.0</v>
      </c>
      <c r="D28" s="162" t="s">
        <v>122</v>
      </c>
      <c r="E28" s="175">
        <v>162.49</v>
      </c>
      <c r="F28" s="52"/>
      <c r="G28" s="52"/>
      <c r="H28" s="52"/>
      <c r="I28" s="52"/>
      <c r="J28" s="50"/>
      <c r="K28" s="68"/>
      <c r="L28" s="175">
        <v>11.0</v>
      </c>
      <c r="M28" s="253" t="s">
        <v>188</v>
      </c>
      <c r="N28" s="175">
        <v>4.0</v>
      </c>
      <c r="O28" s="175">
        <v>10.0</v>
      </c>
      <c r="P28" s="175">
        <v>0.0</v>
      </c>
      <c r="Q28" s="255">
        <v>7.0</v>
      </c>
      <c r="R28" s="175">
        <v>1658.03</v>
      </c>
      <c r="S28" s="256">
        <v>1984.26</v>
      </c>
      <c r="T28" s="171">
        <f>R23-R28</f>
        <v>352.8</v>
      </c>
      <c r="U28" s="52"/>
      <c r="V28" s="52"/>
    </row>
    <row r="29">
      <c r="A29" s="159" t="s">
        <v>154</v>
      </c>
      <c r="B29" s="250" t="s">
        <v>34</v>
      </c>
      <c r="C29" s="161">
        <v>10.0</v>
      </c>
      <c r="D29" s="162" t="s">
        <v>122</v>
      </c>
      <c r="E29" s="175">
        <v>175.59</v>
      </c>
      <c r="F29" s="52"/>
      <c r="G29" s="52"/>
      <c r="H29" s="52"/>
      <c r="I29" s="52"/>
      <c r="J29" s="50"/>
      <c r="K29" s="68"/>
      <c r="L29" s="175">
        <v>12.0</v>
      </c>
      <c r="M29" s="253" t="s">
        <v>189</v>
      </c>
      <c r="N29" s="171">
        <v>4.0</v>
      </c>
      <c r="O29" s="171">
        <v>10.0</v>
      </c>
      <c r="P29" s="171">
        <v>0.0</v>
      </c>
      <c r="Q29" s="174">
        <v>7.0</v>
      </c>
      <c r="R29" s="171">
        <v>1578.58</v>
      </c>
      <c r="S29" s="171">
        <v>1844.35</v>
      </c>
      <c r="T29" s="171">
        <f>R23-R29</f>
        <v>432.25</v>
      </c>
      <c r="U29" s="52"/>
      <c r="V29" s="52"/>
    </row>
    <row r="30">
      <c r="A30" s="159" t="s">
        <v>156</v>
      </c>
      <c r="B30" s="250" t="s">
        <v>36</v>
      </c>
      <c r="C30" s="161">
        <v>10.0</v>
      </c>
      <c r="D30" s="162" t="s">
        <v>122</v>
      </c>
      <c r="E30" s="175">
        <v>187.24</v>
      </c>
      <c r="F30" s="52"/>
      <c r="G30" s="52"/>
      <c r="H30" s="52"/>
      <c r="I30" s="52"/>
      <c r="J30" s="50"/>
      <c r="K30" s="68"/>
      <c r="L30" s="68"/>
      <c r="M30" s="68"/>
      <c r="N30" s="68"/>
      <c r="O30" s="68"/>
      <c r="P30" s="68"/>
      <c r="Q30" s="68"/>
      <c r="R30" s="68"/>
      <c r="S30" s="68"/>
      <c r="T30" s="52"/>
      <c r="U30" s="52"/>
      <c r="V30" s="52"/>
    </row>
    <row r="31">
      <c r="A31" s="257" t="s">
        <v>190</v>
      </c>
      <c r="B31" s="250" t="s">
        <v>34</v>
      </c>
      <c r="C31" s="161">
        <v>5.0</v>
      </c>
      <c r="D31" s="162"/>
      <c r="E31" s="258"/>
      <c r="F31" s="52"/>
      <c r="G31" s="52"/>
      <c r="H31" s="52"/>
      <c r="I31" s="52"/>
      <c r="J31" s="50"/>
      <c r="K31" s="68"/>
      <c r="L31" s="68"/>
      <c r="M31" s="68"/>
      <c r="N31" s="68"/>
      <c r="O31" s="68"/>
      <c r="P31" s="68"/>
      <c r="Q31" s="68"/>
      <c r="R31" s="68"/>
      <c r="S31" s="68"/>
      <c r="T31" s="52"/>
      <c r="U31" s="52"/>
      <c r="V31" s="52"/>
    </row>
    <row r="32">
      <c r="A32" s="159" t="s">
        <v>76</v>
      </c>
      <c r="B32" s="208" t="s">
        <v>33</v>
      </c>
      <c r="C32" s="161">
        <v>25.0</v>
      </c>
      <c r="D32" s="162" t="s">
        <v>122</v>
      </c>
      <c r="E32" s="175">
        <v>142.28</v>
      </c>
      <c r="F32" s="138" t="s">
        <v>186</v>
      </c>
      <c r="G32" s="52"/>
      <c r="H32" s="187"/>
      <c r="I32" s="52"/>
      <c r="J32" s="50"/>
      <c r="K32" s="68"/>
      <c r="L32" s="68"/>
      <c r="M32" s="68"/>
      <c r="N32" s="68"/>
      <c r="O32" s="68"/>
      <c r="P32" s="68"/>
      <c r="Q32" s="68"/>
      <c r="R32" s="68"/>
      <c r="S32" s="68"/>
      <c r="T32" s="52"/>
      <c r="U32" s="52"/>
      <c r="V32" s="52"/>
    </row>
    <row r="33">
      <c r="A33" s="159" t="s">
        <v>77</v>
      </c>
      <c r="B33" s="250" t="s">
        <v>46</v>
      </c>
      <c r="C33" s="161">
        <v>50.0</v>
      </c>
      <c r="D33" s="162" t="s">
        <v>122</v>
      </c>
      <c r="E33" s="175">
        <v>160.33</v>
      </c>
      <c r="F33" s="52"/>
      <c r="G33" s="52"/>
      <c r="H33" s="52"/>
      <c r="I33" s="52"/>
      <c r="J33" s="50"/>
      <c r="K33" s="68"/>
      <c r="L33" s="68"/>
      <c r="M33" s="68"/>
      <c r="N33" s="68"/>
      <c r="O33" s="68"/>
      <c r="P33" s="68"/>
      <c r="Q33" s="68"/>
      <c r="R33" s="68"/>
      <c r="S33" s="68"/>
      <c r="T33" s="52"/>
      <c r="U33" s="52"/>
      <c r="V33" s="52"/>
    </row>
    <row r="34">
      <c r="A34" s="159" t="s">
        <v>78</v>
      </c>
      <c r="B34" s="250" t="s">
        <v>39</v>
      </c>
      <c r="C34" s="161">
        <v>100.0</v>
      </c>
      <c r="D34" s="162" t="s">
        <v>122</v>
      </c>
      <c r="E34" s="175">
        <v>177.12</v>
      </c>
      <c r="F34" s="52"/>
      <c r="G34" s="52"/>
      <c r="H34" s="52"/>
      <c r="I34" s="52"/>
      <c r="J34" s="50"/>
      <c r="K34" s="68"/>
      <c r="L34" s="68"/>
      <c r="M34" s="68"/>
      <c r="N34" s="68"/>
      <c r="O34" s="68"/>
      <c r="P34" s="68"/>
      <c r="Q34" s="68"/>
      <c r="R34" s="68"/>
      <c r="S34" s="68"/>
      <c r="T34" s="52"/>
      <c r="U34" s="52"/>
      <c r="V34" s="52"/>
    </row>
    <row r="35">
      <c r="A35" s="159" t="s">
        <v>79</v>
      </c>
      <c r="B35" s="250" t="s">
        <v>34</v>
      </c>
      <c r="C35" s="161">
        <v>280.0</v>
      </c>
      <c r="D35" s="162" t="s">
        <v>122</v>
      </c>
      <c r="E35" s="175">
        <v>182.2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</row>
    <row r="36">
      <c r="A36" s="188" t="s">
        <v>66</v>
      </c>
      <c r="B36" s="136"/>
      <c r="C36" s="189">
        <f>SUM(C17:C35)</f>
        <v>600</v>
      </c>
      <c r="D36" s="50"/>
      <c r="E36" s="50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</row>
    <row r="37">
      <c r="A37" s="234"/>
      <c r="B37" s="191"/>
      <c r="C37" s="192"/>
      <c r="D37" s="50"/>
      <c r="E37" s="50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</row>
  </sheetData>
  <mergeCells count="2">
    <mergeCell ref="A36:B36"/>
    <mergeCell ref="A37:B3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0"/>
    <col customWidth="1" min="3" max="3" width="10.88"/>
    <col customWidth="1" min="4" max="4" width="7.75"/>
    <col customWidth="1" min="5" max="5" width="9.25"/>
    <col customWidth="1" min="6" max="6" width="6.0"/>
    <col customWidth="1" min="7" max="7" width="7.38"/>
    <col customWidth="1" min="8" max="8" width="8.63"/>
    <col customWidth="1" min="9" max="9" width="7.0"/>
    <col customWidth="1" min="10" max="10" width="6.75"/>
    <col customWidth="1" min="11" max="11" width="17.88"/>
    <col customWidth="1" min="12" max="17" width="7.0"/>
    <col customWidth="1" min="18" max="21" width="11.0"/>
  </cols>
  <sheetData>
    <row r="1">
      <c r="A1" s="140" t="s">
        <v>0</v>
      </c>
      <c r="B1" s="140" t="s">
        <v>108</v>
      </c>
      <c r="C1" s="140" t="s">
        <v>108</v>
      </c>
      <c r="D1" s="140" t="s">
        <v>76</v>
      </c>
      <c r="E1" s="140" t="s">
        <v>77</v>
      </c>
      <c r="F1" s="140" t="s">
        <v>78</v>
      </c>
      <c r="G1" s="140" t="s">
        <v>109</v>
      </c>
      <c r="H1" s="140" t="s">
        <v>110</v>
      </c>
      <c r="I1" s="140" t="s">
        <v>111</v>
      </c>
      <c r="J1" s="140" t="s">
        <v>113</v>
      </c>
      <c r="K1" s="195"/>
      <c r="L1" s="50"/>
      <c r="M1" s="259"/>
      <c r="N1" s="259"/>
      <c r="O1" s="259"/>
      <c r="P1" s="260"/>
      <c r="Q1" s="259"/>
      <c r="R1" s="261" t="s">
        <v>67</v>
      </c>
      <c r="S1" s="262" t="s">
        <v>114</v>
      </c>
      <c r="T1" s="263" t="s">
        <v>115</v>
      </c>
      <c r="U1" s="259"/>
      <c r="V1" s="12"/>
      <c r="W1" s="12"/>
      <c r="X1" s="12"/>
      <c r="Y1" s="12"/>
      <c r="Z1" s="12"/>
    </row>
    <row r="2">
      <c r="A2" s="202" t="s">
        <v>46</v>
      </c>
      <c r="B2" s="143">
        <v>0.0</v>
      </c>
      <c r="C2" s="130">
        <f t="shared" ref="C2:C13" si="1">10*B2</f>
        <v>0</v>
      </c>
      <c r="D2" s="197">
        <v>25.0</v>
      </c>
      <c r="E2" s="197">
        <v>0.0</v>
      </c>
      <c r="F2" s="197">
        <v>0.0</v>
      </c>
      <c r="G2" s="198">
        <v>0.0</v>
      </c>
      <c r="H2" s="130">
        <f t="shared" ref="H2:H13" si="2">sum(C2:G2)</f>
        <v>25</v>
      </c>
      <c r="I2" s="145">
        <f t="shared" ref="I2:I13" si="3">S2</f>
        <v>52.1</v>
      </c>
      <c r="J2" s="130">
        <f t="shared" ref="J2:J13" si="4">H2-I2</f>
        <v>-27.1</v>
      </c>
      <c r="K2" s="195"/>
      <c r="L2" s="50"/>
      <c r="M2" s="264"/>
      <c r="N2" s="259"/>
      <c r="O2" s="259"/>
      <c r="P2" s="260"/>
      <c r="Q2" s="259"/>
      <c r="R2" s="265" t="s">
        <v>46</v>
      </c>
      <c r="S2" s="266">
        <v>52.1</v>
      </c>
      <c r="T2" s="267">
        <f t="shared" ref="T2:T13" si="5">S2-52.1</f>
        <v>0</v>
      </c>
      <c r="U2" s="259"/>
      <c r="V2" s="12"/>
      <c r="W2" s="12"/>
      <c r="X2" s="12"/>
      <c r="Y2" s="12"/>
      <c r="Z2" s="12"/>
    </row>
    <row r="3">
      <c r="A3" s="202" t="s">
        <v>38</v>
      </c>
      <c r="B3" s="143">
        <v>0.0</v>
      </c>
      <c r="C3" s="130">
        <f t="shared" si="1"/>
        <v>0</v>
      </c>
      <c r="D3" s="197">
        <v>0.0</v>
      </c>
      <c r="E3" s="197">
        <v>0.0</v>
      </c>
      <c r="F3" s="197">
        <v>0.0</v>
      </c>
      <c r="G3" s="197">
        <v>0.0</v>
      </c>
      <c r="H3" s="130">
        <f t="shared" si="2"/>
        <v>0</v>
      </c>
      <c r="I3" s="145">
        <f t="shared" si="3"/>
        <v>52.1</v>
      </c>
      <c r="J3" s="130">
        <f t="shared" si="4"/>
        <v>-52.1</v>
      </c>
      <c r="K3" s="195"/>
      <c r="L3" s="134"/>
      <c r="M3" s="259"/>
      <c r="N3" s="259"/>
      <c r="O3" s="259"/>
      <c r="P3" s="260"/>
      <c r="Q3" s="259"/>
      <c r="R3" s="265" t="s">
        <v>38</v>
      </c>
      <c r="S3" s="266">
        <v>52.1</v>
      </c>
      <c r="T3" s="267">
        <f t="shared" si="5"/>
        <v>0</v>
      </c>
      <c r="U3" s="259"/>
      <c r="V3" s="12"/>
      <c r="W3" s="12"/>
      <c r="X3" s="12"/>
      <c r="Y3" s="12"/>
      <c r="Z3" s="12"/>
    </row>
    <row r="4">
      <c r="A4" s="202" t="s">
        <v>36</v>
      </c>
      <c r="B4" s="143">
        <v>0.0</v>
      </c>
      <c r="C4" s="130">
        <f t="shared" si="1"/>
        <v>0</v>
      </c>
      <c r="D4" s="197">
        <v>0.0</v>
      </c>
      <c r="E4" s="197">
        <v>0.0</v>
      </c>
      <c r="F4" s="197">
        <v>0.0</v>
      </c>
      <c r="G4" s="197">
        <v>0.0</v>
      </c>
      <c r="H4" s="130">
        <f t="shared" si="2"/>
        <v>0</v>
      </c>
      <c r="I4" s="145">
        <f t="shared" si="3"/>
        <v>52.1</v>
      </c>
      <c r="J4" s="130">
        <f t="shared" si="4"/>
        <v>-52.1</v>
      </c>
      <c r="K4" s="195"/>
      <c r="L4" s="50"/>
      <c r="M4" s="259"/>
      <c r="N4" s="259"/>
      <c r="O4" s="259"/>
      <c r="P4" s="260"/>
      <c r="Q4" s="259"/>
      <c r="R4" s="265" t="s">
        <v>36</v>
      </c>
      <c r="S4" s="266">
        <v>52.1</v>
      </c>
      <c r="T4" s="267">
        <f t="shared" si="5"/>
        <v>0</v>
      </c>
      <c r="U4" s="259"/>
      <c r="V4" s="12"/>
      <c r="W4" s="12"/>
      <c r="X4" s="12"/>
      <c r="Y4" s="12"/>
      <c r="Z4" s="12"/>
    </row>
    <row r="5">
      <c r="A5" s="202" t="s">
        <v>37</v>
      </c>
      <c r="B5" s="196">
        <v>2.0</v>
      </c>
      <c r="C5" s="130">
        <f t="shared" si="1"/>
        <v>20</v>
      </c>
      <c r="D5" s="197">
        <v>0.0</v>
      </c>
      <c r="E5" s="197">
        <v>0.0</v>
      </c>
      <c r="F5" s="197">
        <v>0.0</v>
      </c>
      <c r="G5" s="197">
        <v>0.0</v>
      </c>
      <c r="H5" s="130">
        <f t="shared" si="2"/>
        <v>20</v>
      </c>
      <c r="I5" s="145">
        <f t="shared" si="3"/>
        <v>52.1</v>
      </c>
      <c r="J5" s="130">
        <f t="shared" si="4"/>
        <v>-32.1</v>
      </c>
      <c r="K5" s="195"/>
      <c r="L5" s="50"/>
      <c r="M5" s="259"/>
      <c r="N5" s="259"/>
      <c r="O5" s="259"/>
      <c r="P5" s="260"/>
      <c r="Q5" s="259"/>
      <c r="R5" s="265" t="s">
        <v>37</v>
      </c>
      <c r="S5" s="266">
        <v>52.1</v>
      </c>
      <c r="T5" s="267">
        <f t="shared" si="5"/>
        <v>0</v>
      </c>
      <c r="U5" s="259"/>
      <c r="V5" s="12"/>
      <c r="W5" s="12"/>
      <c r="X5" s="12"/>
      <c r="Y5" s="12"/>
      <c r="Z5" s="12"/>
    </row>
    <row r="6">
      <c r="A6" s="202" t="s">
        <v>116</v>
      </c>
      <c r="B6" s="196">
        <v>3.0</v>
      </c>
      <c r="C6" s="130">
        <f t="shared" si="1"/>
        <v>30</v>
      </c>
      <c r="D6" s="197">
        <v>0.0</v>
      </c>
      <c r="E6" s="197">
        <v>0.0</v>
      </c>
      <c r="F6" s="197">
        <v>100.0</v>
      </c>
      <c r="G6" s="197">
        <v>0.0</v>
      </c>
      <c r="H6" s="130">
        <f t="shared" si="2"/>
        <v>130</v>
      </c>
      <c r="I6" s="145">
        <f t="shared" si="3"/>
        <v>52.1</v>
      </c>
      <c r="J6" s="130">
        <f t="shared" si="4"/>
        <v>77.9</v>
      </c>
      <c r="K6" s="195"/>
      <c r="L6" s="50"/>
      <c r="M6" s="259"/>
      <c r="N6" s="259"/>
      <c r="O6" s="259"/>
      <c r="P6" s="260"/>
      <c r="Q6" s="259"/>
      <c r="R6" s="265" t="s">
        <v>116</v>
      </c>
      <c r="S6" s="266">
        <v>52.1</v>
      </c>
      <c r="T6" s="267">
        <f t="shared" si="5"/>
        <v>0</v>
      </c>
      <c r="U6" s="259"/>
      <c r="V6" s="12"/>
      <c r="W6" s="12"/>
      <c r="X6" s="12"/>
      <c r="Y6" s="12"/>
      <c r="Z6" s="12"/>
    </row>
    <row r="7">
      <c r="A7" s="202" t="s">
        <v>31</v>
      </c>
      <c r="B7" s="196">
        <v>1.0</v>
      </c>
      <c r="C7" s="130">
        <f t="shared" si="1"/>
        <v>10</v>
      </c>
      <c r="D7" s="197">
        <v>0.0</v>
      </c>
      <c r="E7" s="197">
        <v>0.0</v>
      </c>
      <c r="F7" s="197">
        <v>0.0</v>
      </c>
      <c r="G7" s="197">
        <v>0.0</v>
      </c>
      <c r="H7" s="130">
        <f t="shared" si="2"/>
        <v>10</v>
      </c>
      <c r="I7" s="145">
        <f t="shared" si="3"/>
        <v>52.1</v>
      </c>
      <c r="J7" s="130">
        <f t="shared" si="4"/>
        <v>-42.1</v>
      </c>
      <c r="K7" s="195"/>
      <c r="L7" s="50"/>
      <c r="M7" s="259"/>
      <c r="N7" s="259"/>
      <c r="O7" s="259"/>
      <c r="P7" s="260"/>
      <c r="Q7" s="259"/>
      <c r="R7" s="265" t="s">
        <v>31</v>
      </c>
      <c r="S7" s="266">
        <v>52.1</v>
      </c>
      <c r="T7" s="267">
        <f t="shared" si="5"/>
        <v>0</v>
      </c>
      <c r="U7" s="259"/>
      <c r="V7" s="12"/>
      <c r="W7" s="12"/>
      <c r="X7" s="12"/>
      <c r="Y7" s="12"/>
      <c r="Z7" s="12"/>
    </row>
    <row r="8">
      <c r="A8" s="202" t="s">
        <v>35</v>
      </c>
      <c r="B8" s="196">
        <v>2.0</v>
      </c>
      <c r="C8" s="130">
        <f t="shared" si="1"/>
        <v>20</v>
      </c>
      <c r="D8" s="197">
        <v>0.0</v>
      </c>
      <c r="E8" s="197">
        <v>0.0</v>
      </c>
      <c r="F8" s="197">
        <v>0.0</v>
      </c>
      <c r="G8" s="197">
        <v>290.0</v>
      </c>
      <c r="H8" s="130">
        <f t="shared" si="2"/>
        <v>310</v>
      </c>
      <c r="I8" s="145">
        <f t="shared" si="3"/>
        <v>52.1</v>
      </c>
      <c r="J8" s="130">
        <f t="shared" si="4"/>
        <v>257.9</v>
      </c>
      <c r="K8" s="195"/>
      <c r="L8" s="50"/>
      <c r="M8" s="259"/>
      <c r="N8" s="259"/>
      <c r="O8" s="260"/>
      <c r="P8" s="260"/>
      <c r="Q8" s="259"/>
      <c r="R8" s="265" t="s">
        <v>35</v>
      </c>
      <c r="S8" s="266">
        <v>52.1</v>
      </c>
      <c r="T8" s="267">
        <f t="shared" si="5"/>
        <v>0</v>
      </c>
      <c r="U8" s="259"/>
      <c r="V8" s="12"/>
      <c r="W8" s="12"/>
      <c r="X8" s="12"/>
      <c r="Y8" s="12"/>
      <c r="Z8" s="12"/>
    </row>
    <row r="9">
      <c r="A9" s="202" t="s">
        <v>34</v>
      </c>
      <c r="B9" s="196">
        <v>1.0</v>
      </c>
      <c r="C9" s="130">
        <f t="shared" si="1"/>
        <v>10</v>
      </c>
      <c r="D9" s="197">
        <v>0.0</v>
      </c>
      <c r="E9" s="197">
        <v>0.0</v>
      </c>
      <c r="F9" s="197">
        <v>0.0</v>
      </c>
      <c r="G9" s="197">
        <v>0.0</v>
      </c>
      <c r="H9" s="130">
        <f t="shared" si="2"/>
        <v>10</v>
      </c>
      <c r="I9" s="145">
        <f t="shared" si="3"/>
        <v>52.1</v>
      </c>
      <c r="J9" s="130">
        <f t="shared" si="4"/>
        <v>-42.1</v>
      </c>
      <c r="K9" s="195"/>
      <c r="L9" s="50"/>
      <c r="M9" s="259"/>
      <c r="N9" s="259"/>
      <c r="O9" s="260"/>
      <c r="P9" s="260"/>
      <c r="Q9" s="259"/>
      <c r="R9" s="265" t="s">
        <v>34</v>
      </c>
      <c r="S9" s="266">
        <v>52.1</v>
      </c>
      <c r="T9" s="267">
        <f t="shared" si="5"/>
        <v>0</v>
      </c>
      <c r="U9" s="259"/>
      <c r="V9" s="12"/>
      <c r="W9" s="12"/>
      <c r="X9" s="12"/>
      <c r="Y9" s="12"/>
      <c r="Z9" s="12"/>
    </row>
    <row r="10">
      <c r="A10" s="202" t="s">
        <v>178</v>
      </c>
      <c r="B10" s="196">
        <v>3.0</v>
      </c>
      <c r="C10" s="130">
        <f t="shared" si="1"/>
        <v>30</v>
      </c>
      <c r="D10" s="197">
        <v>0.0</v>
      </c>
      <c r="E10" s="197">
        <v>0.0</v>
      </c>
      <c r="F10" s="197">
        <v>0.0</v>
      </c>
      <c r="G10" s="197">
        <v>0.0</v>
      </c>
      <c r="H10" s="130">
        <f t="shared" si="2"/>
        <v>30</v>
      </c>
      <c r="I10" s="145">
        <f t="shared" si="3"/>
        <v>52.1</v>
      </c>
      <c r="J10" s="130">
        <f t="shared" si="4"/>
        <v>-22.1</v>
      </c>
      <c r="K10" s="195"/>
      <c r="L10" s="50"/>
      <c r="M10" s="259"/>
      <c r="N10" s="259"/>
      <c r="O10" s="260"/>
      <c r="P10" s="260"/>
      <c r="Q10" s="259"/>
      <c r="R10" s="265" t="s">
        <v>178</v>
      </c>
      <c r="S10" s="266">
        <v>52.1</v>
      </c>
      <c r="T10" s="267">
        <f t="shared" si="5"/>
        <v>0</v>
      </c>
      <c r="U10" s="259"/>
      <c r="V10" s="12"/>
      <c r="W10" s="12"/>
      <c r="X10" s="12"/>
      <c r="Y10" s="12"/>
      <c r="Z10" s="12"/>
    </row>
    <row r="11">
      <c r="A11" s="202" t="s">
        <v>42</v>
      </c>
      <c r="B11" s="143">
        <v>0.0</v>
      </c>
      <c r="C11" s="130">
        <f t="shared" si="1"/>
        <v>0</v>
      </c>
      <c r="D11" s="197">
        <v>0.0</v>
      </c>
      <c r="E11" s="197">
        <v>0.0</v>
      </c>
      <c r="F11" s="197">
        <v>0.0</v>
      </c>
      <c r="G11" s="197">
        <v>0.0</v>
      </c>
      <c r="H11" s="130">
        <f t="shared" si="2"/>
        <v>0</v>
      </c>
      <c r="I11" s="145">
        <f t="shared" si="3"/>
        <v>52.1</v>
      </c>
      <c r="J11" s="130">
        <f t="shared" si="4"/>
        <v>-52.1</v>
      </c>
      <c r="K11" s="195"/>
      <c r="L11" s="50"/>
      <c r="M11" s="259"/>
      <c r="N11" s="259"/>
      <c r="O11" s="260"/>
      <c r="P11" s="260"/>
      <c r="Q11" s="259"/>
      <c r="R11" s="265" t="s">
        <v>42</v>
      </c>
      <c r="S11" s="266">
        <v>52.1</v>
      </c>
      <c r="T11" s="267">
        <f t="shared" si="5"/>
        <v>0</v>
      </c>
      <c r="U11" s="259"/>
      <c r="V11" s="12"/>
      <c r="W11" s="12"/>
      <c r="X11" s="12"/>
      <c r="Y11" s="12"/>
      <c r="Z11" s="12"/>
    </row>
    <row r="12">
      <c r="A12" s="202" t="s">
        <v>39</v>
      </c>
      <c r="B12" s="196">
        <v>1.0</v>
      </c>
      <c r="C12" s="130">
        <f t="shared" si="1"/>
        <v>10</v>
      </c>
      <c r="D12" s="197">
        <v>0.0</v>
      </c>
      <c r="E12" s="197">
        <v>50.0</v>
      </c>
      <c r="F12" s="197">
        <v>0.0</v>
      </c>
      <c r="G12" s="197">
        <v>0.0</v>
      </c>
      <c r="H12" s="130">
        <f t="shared" si="2"/>
        <v>60</v>
      </c>
      <c r="I12" s="145">
        <f t="shared" si="3"/>
        <v>52.1</v>
      </c>
      <c r="J12" s="130">
        <f t="shared" si="4"/>
        <v>7.9</v>
      </c>
      <c r="K12" s="195"/>
      <c r="L12" s="50"/>
      <c r="M12" s="259"/>
      <c r="N12" s="259"/>
      <c r="O12" s="260"/>
      <c r="P12" s="260"/>
      <c r="Q12" s="259"/>
      <c r="R12" s="265" t="s">
        <v>39</v>
      </c>
      <c r="S12" s="266">
        <v>52.1</v>
      </c>
      <c r="T12" s="267">
        <f t="shared" si="5"/>
        <v>0</v>
      </c>
      <c r="U12" s="259"/>
      <c r="V12" s="12"/>
      <c r="W12" s="12"/>
      <c r="X12" s="12"/>
      <c r="Y12" s="12"/>
      <c r="Z12" s="12"/>
    </row>
    <row r="13">
      <c r="A13" s="202" t="s">
        <v>30</v>
      </c>
      <c r="B13" s="143">
        <v>0.0</v>
      </c>
      <c r="C13" s="268">
        <f t="shared" si="1"/>
        <v>0</v>
      </c>
      <c r="D13" s="269">
        <v>0.0</v>
      </c>
      <c r="E13" s="269">
        <v>0.0</v>
      </c>
      <c r="F13" s="269">
        <v>0.0</v>
      </c>
      <c r="G13" s="269">
        <v>0.0</v>
      </c>
      <c r="H13" s="268">
        <f t="shared" si="2"/>
        <v>0</v>
      </c>
      <c r="I13" s="270">
        <f t="shared" si="3"/>
        <v>52.1</v>
      </c>
      <c r="J13" s="268">
        <f t="shared" si="4"/>
        <v>-52.1</v>
      </c>
      <c r="K13" s="195"/>
      <c r="L13" s="50"/>
      <c r="M13" s="259"/>
      <c r="N13" s="259"/>
      <c r="O13" s="260"/>
      <c r="P13" s="259"/>
      <c r="Q13" s="259"/>
      <c r="R13" s="271" t="s">
        <v>30</v>
      </c>
      <c r="S13" s="272">
        <v>52.1</v>
      </c>
      <c r="T13" s="267">
        <f t="shared" si="5"/>
        <v>0</v>
      </c>
      <c r="U13" s="259"/>
      <c r="V13" s="12"/>
      <c r="W13" s="12"/>
      <c r="X13" s="12"/>
      <c r="Y13" s="12"/>
      <c r="Z13" s="12"/>
    </row>
    <row r="14">
      <c r="A14" s="50"/>
      <c r="B14" s="273"/>
      <c r="C14" s="274">
        <f t="shared" ref="C14:J14" si="6">SUM(C2:C13)</f>
        <v>130</v>
      </c>
      <c r="D14" s="275">
        <f t="shared" si="6"/>
        <v>25</v>
      </c>
      <c r="E14" s="275">
        <f t="shared" si="6"/>
        <v>50</v>
      </c>
      <c r="F14" s="275">
        <f t="shared" si="6"/>
        <v>100</v>
      </c>
      <c r="G14" s="275">
        <f t="shared" si="6"/>
        <v>290</v>
      </c>
      <c r="H14" s="275">
        <f t="shared" si="6"/>
        <v>595</v>
      </c>
      <c r="I14" s="275">
        <f t="shared" si="6"/>
        <v>625.2</v>
      </c>
      <c r="J14" s="276">
        <f t="shared" si="6"/>
        <v>-30.2</v>
      </c>
      <c r="K14" s="195"/>
      <c r="L14" s="277"/>
      <c r="M14" s="259"/>
      <c r="N14" s="259"/>
      <c r="O14" s="260"/>
      <c r="P14" s="259"/>
      <c r="Q14" s="259"/>
      <c r="R14" s="278" t="s">
        <v>66</v>
      </c>
      <c r="S14" s="279">
        <f t="shared" ref="S14:T14" si="7">SUM(S2:S13)</f>
        <v>625.2</v>
      </c>
      <c r="T14" s="280">
        <f t="shared" si="7"/>
        <v>0</v>
      </c>
      <c r="U14" s="259"/>
      <c r="V14" s="12"/>
      <c r="W14" s="12"/>
      <c r="X14" s="12"/>
      <c r="Y14" s="12"/>
      <c r="Z14" s="12"/>
    </row>
    <row r="15">
      <c r="A15" s="281"/>
      <c r="B15" s="282"/>
      <c r="C15" s="282"/>
      <c r="D15" s="283"/>
      <c r="E15" s="282"/>
      <c r="F15" s="284"/>
      <c r="G15" s="285"/>
      <c r="H15" s="285"/>
      <c r="I15" s="285"/>
      <c r="J15" s="286"/>
      <c r="K15" s="286"/>
      <c r="L15" s="259"/>
      <c r="M15" s="259"/>
      <c r="N15" s="259"/>
      <c r="O15" s="260"/>
      <c r="P15" s="259"/>
      <c r="Q15" s="259"/>
      <c r="R15" s="259"/>
      <c r="S15" s="259"/>
      <c r="T15" s="259"/>
      <c r="U15" s="259"/>
      <c r="V15" s="12"/>
      <c r="W15" s="12"/>
      <c r="X15" s="12"/>
      <c r="Y15" s="12"/>
      <c r="Z15" s="12"/>
    </row>
    <row r="16">
      <c r="A16" s="287" t="s">
        <v>118</v>
      </c>
      <c r="B16" s="288" t="s">
        <v>0</v>
      </c>
      <c r="C16" s="288" t="s">
        <v>119</v>
      </c>
      <c r="D16" s="288" t="s">
        <v>114</v>
      </c>
      <c r="E16" s="289" t="s">
        <v>120</v>
      </c>
      <c r="F16" s="286"/>
      <c r="G16" s="286"/>
      <c r="H16" s="286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12"/>
      <c r="W16" s="12"/>
      <c r="X16" s="12"/>
      <c r="Y16" s="12"/>
      <c r="Z16" s="12"/>
    </row>
    <row r="17">
      <c r="A17" s="290" t="s">
        <v>121</v>
      </c>
      <c r="B17" s="291" t="s">
        <v>178</v>
      </c>
      <c r="C17" s="292">
        <v>10.0</v>
      </c>
      <c r="D17" s="293" t="s">
        <v>122</v>
      </c>
      <c r="E17" s="294">
        <v>156.81</v>
      </c>
      <c r="F17" s="295"/>
      <c r="G17" s="286"/>
      <c r="H17" s="286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12"/>
      <c r="W17" s="12"/>
      <c r="X17" s="12"/>
      <c r="Y17" s="12"/>
      <c r="Z17" s="12"/>
    </row>
    <row r="18">
      <c r="A18" s="296" t="s">
        <v>132</v>
      </c>
      <c r="B18" s="208" t="s">
        <v>35</v>
      </c>
      <c r="C18" s="297">
        <v>10.0</v>
      </c>
      <c r="D18" s="209" t="s">
        <v>122</v>
      </c>
      <c r="E18" s="298">
        <v>160.62</v>
      </c>
      <c r="F18" s="295"/>
      <c r="G18" s="286"/>
      <c r="H18" s="286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12"/>
      <c r="W18" s="12"/>
      <c r="X18" s="12"/>
      <c r="Y18" s="12"/>
      <c r="Z18" s="12"/>
    </row>
    <row r="19">
      <c r="A19" s="296" t="s">
        <v>134</v>
      </c>
      <c r="B19" s="208" t="s">
        <v>37</v>
      </c>
      <c r="C19" s="297">
        <v>10.0</v>
      </c>
      <c r="D19" s="209" t="s">
        <v>122</v>
      </c>
      <c r="E19" s="298">
        <v>153.06</v>
      </c>
      <c r="F19" s="295"/>
      <c r="G19" s="286"/>
      <c r="H19" s="286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12"/>
      <c r="W19" s="12"/>
      <c r="X19" s="12"/>
      <c r="Y19" s="12"/>
      <c r="Z19" s="12"/>
    </row>
    <row r="20">
      <c r="A20" s="296" t="s">
        <v>136</v>
      </c>
      <c r="B20" s="208" t="s">
        <v>39</v>
      </c>
      <c r="C20" s="297">
        <v>10.0</v>
      </c>
      <c r="D20" s="209" t="s">
        <v>122</v>
      </c>
      <c r="E20" s="298">
        <v>186.38</v>
      </c>
      <c r="F20" s="295"/>
      <c r="G20" s="286"/>
      <c r="H20" s="286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12"/>
      <c r="W20" s="12"/>
      <c r="X20" s="12"/>
      <c r="Y20" s="12"/>
      <c r="Z20" s="12"/>
    </row>
    <row r="21">
      <c r="A21" s="296" t="s">
        <v>138</v>
      </c>
      <c r="B21" s="208" t="s">
        <v>31</v>
      </c>
      <c r="C21" s="297">
        <v>10.0</v>
      </c>
      <c r="D21" s="209" t="s">
        <v>122</v>
      </c>
      <c r="E21" s="298">
        <v>141.48</v>
      </c>
      <c r="F21" s="295"/>
      <c r="G21" s="286"/>
      <c r="H21" s="286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12"/>
      <c r="W21" s="12"/>
      <c r="X21" s="12"/>
      <c r="Y21" s="12"/>
      <c r="Z21" s="12"/>
    </row>
    <row r="22">
      <c r="A22" s="296" t="s">
        <v>140</v>
      </c>
      <c r="B22" s="208" t="s">
        <v>37</v>
      </c>
      <c r="C22" s="297">
        <v>10.0</v>
      </c>
      <c r="D22" s="209" t="s">
        <v>122</v>
      </c>
      <c r="E22" s="298">
        <v>143.78</v>
      </c>
      <c r="F22" s="295"/>
      <c r="G22" s="286"/>
      <c r="H22" s="286"/>
      <c r="I22" s="259"/>
      <c r="J22" s="299" t="s">
        <v>123</v>
      </c>
      <c r="K22" s="300" t="s">
        <v>124</v>
      </c>
      <c r="L22" s="301" t="s">
        <v>125</v>
      </c>
      <c r="M22" s="301" t="s">
        <v>126</v>
      </c>
      <c r="N22" s="301" t="s">
        <v>127</v>
      </c>
      <c r="O22" s="301" t="s">
        <v>128</v>
      </c>
      <c r="P22" s="301" t="s">
        <v>129</v>
      </c>
      <c r="Q22" s="301" t="s">
        <v>130</v>
      </c>
      <c r="R22" s="302" t="s">
        <v>131</v>
      </c>
      <c r="S22" s="259"/>
      <c r="T22" s="259"/>
      <c r="U22" s="259"/>
      <c r="V22" s="12"/>
      <c r="W22" s="12"/>
      <c r="X22" s="12"/>
      <c r="Y22" s="12"/>
      <c r="Z22" s="12"/>
    </row>
    <row r="23">
      <c r="A23" s="296" t="s">
        <v>142</v>
      </c>
      <c r="B23" s="208" t="s">
        <v>178</v>
      </c>
      <c r="C23" s="297">
        <v>10.0</v>
      </c>
      <c r="D23" s="209" t="s">
        <v>122</v>
      </c>
      <c r="E23" s="298">
        <v>170.98</v>
      </c>
      <c r="F23" s="295"/>
      <c r="G23" s="286"/>
      <c r="H23" s="286"/>
      <c r="I23" s="259"/>
      <c r="J23" s="303">
        <v>1.0</v>
      </c>
      <c r="K23" s="304" t="s">
        <v>180</v>
      </c>
      <c r="L23" s="305">
        <v>10.0</v>
      </c>
      <c r="M23" s="305">
        <v>3.0</v>
      </c>
      <c r="N23" s="305">
        <v>0.0</v>
      </c>
      <c r="O23" s="306">
        <v>0.0</v>
      </c>
      <c r="P23" s="307">
        <v>1619.46</v>
      </c>
      <c r="Q23" s="307">
        <v>1355.1</v>
      </c>
      <c r="R23" s="308">
        <f>P28-P23</f>
        <v>-141.91</v>
      </c>
      <c r="S23" s="259"/>
      <c r="T23" s="259"/>
      <c r="U23" s="259"/>
      <c r="V23" s="12"/>
      <c r="W23" s="12"/>
      <c r="X23" s="12"/>
      <c r="Y23" s="12"/>
      <c r="Z23" s="12"/>
    </row>
    <row r="24">
      <c r="A24" s="296" t="s">
        <v>144</v>
      </c>
      <c r="B24" s="208" t="s">
        <v>116</v>
      </c>
      <c r="C24" s="297">
        <v>10.0</v>
      </c>
      <c r="D24" s="209" t="s">
        <v>122</v>
      </c>
      <c r="E24" s="298">
        <v>151.07</v>
      </c>
      <c r="F24" s="295"/>
      <c r="G24" s="286"/>
      <c r="H24" s="286"/>
      <c r="I24" s="259"/>
      <c r="J24" s="309">
        <v>2.0</v>
      </c>
      <c r="K24" s="310" t="s">
        <v>191</v>
      </c>
      <c r="L24" s="311">
        <v>9.0</v>
      </c>
      <c r="M24" s="311">
        <v>4.0</v>
      </c>
      <c r="N24" s="311">
        <v>0.0</v>
      </c>
      <c r="O24" s="312">
        <v>1.0</v>
      </c>
      <c r="P24" s="313">
        <v>1567.62</v>
      </c>
      <c r="Q24" s="313">
        <v>1288.79</v>
      </c>
      <c r="R24" s="314">
        <f>P28-P24</f>
        <v>-90.07</v>
      </c>
      <c r="S24" s="259"/>
      <c r="T24" s="259"/>
      <c r="U24" s="259"/>
      <c r="V24" s="12"/>
      <c r="W24" s="12"/>
      <c r="X24" s="12"/>
      <c r="Y24" s="12"/>
      <c r="Z24" s="12"/>
    </row>
    <row r="25">
      <c r="A25" s="296" t="s">
        <v>146</v>
      </c>
      <c r="B25" s="208" t="s">
        <v>34</v>
      </c>
      <c r="C25" s="297">
        <v>10.0</v>
      </c>
      <c r="D25" s="209" t="s">
        <v>122</v>
      </c>
      <c r="E25" s="298">
        <v>140.86</v>
      </c>
      <c r="F25" s="295"/>
      <c r="G25" s="286"/>
      <c r="H25" s="286"/>
      <c r="I25" s="259"/>
      <c r="J25" s="309">
        <v>3.0</v>
      </c>
      <c r="K25" s="310" t="s">
        <v>192</v>
      </c>
      <c r="L25" s="311">
        <v>9.0</v>
      </c>
      <c r="M25" s="311">
        <v>4.0</v>
      </c>
      <c r="N25" s="311">
        <v>0.0</v>
      </c>
      <c r="O25" s="312">
        <v>1.0</v>
      </c>
      <c r="P25" s="313">
        <v>1520.35</v>
      </c>
      <c r="Q25" s="313">
        <v>1355.08</v>
      </c>
      <c r="R25" s="314">
        <f>P28-P25</f>
        <v>-42.8</v>
      </c>
      <c r="S25" s="259"/>
      <c r="T25" s="259"/>
      <c r="U25" s="259"/>
      <c r="V25" s="12"/>
      <c r="W25" s="12"/>
      <c r="X25" s="12"/>
      <c r="Y25" s="12"/>
      <c r="Z25" s="12"/>
    </row>
    <row r="26">
      <c r="A26" s="296" t="s">
        <v>148</v>
      </c>
      <c r="B26" s="208" t="s">
        <v>35</v>
      </c>
      <c r="C26" s="297">
        <v>10.0</v>
      </c>
      <c r="D26" s="209" t="s">
        <v>122</v>
      </c>
      <c r="E26" s="298">
        <v>138.18</v>
      </c>
      <c r="F26" s="295"/>
      <c r="G26" s="286"/>
      <c r="H26" s="286"/>
      <c r="I26" s="259"/>
      <c r="J26" s="309">
        <v>4.0</v>
      </c>
      <c r="K26" s="310" t="s">
        <v>193</v>
      </c>
      <c r="L26" s="311">
        <v>7.0</v>
      </c>
      <c r="M26" s="311">
        <v>6.0</v>
      </c>
      <c r="N26" s="311">
        <v>0.0</v>
      </c>
      <c r="O26" s="315">
        <v>3.0</v>
      </c>
      <c r="P26" s="316">
        <v>1483.71</v>
      </c>
      <c r="Q26" s="316">
        <v>1502.14</v>
      </c>
      <c r="R26" s="314">
        <f>P28-P26</f>
        <v>-6.16</v>
      </c>
      <c r="S26" s="259"/>
      <c r="T26" s="259"/>
      <c r="U26" s="259"/>
      <c r="V26" s="12"/>
      <c r="W26" s="12"/>
      <c r="X26" s="12"/>
      <c r="Y26" s="12"/>
      <c r="Z26" s="12"/>
    </row>
    <row r="27">
      <c r="A27" s="296" t="s">
        <v>150</v>
      </c>
      <c r="B27" s="208" t="s">
        <v>116</v>
      </c>
      <c r="C27" s="297">
        <v>10.0</v>
      </c>
      <c r="D27" s="209" t="s">
        <v>122</v>
      </c>
      <c r="E27" s="298">
        <v>129.66</v>
      </c>
      <c r="F27" s="295"/>
      <c r="G27" s="286"/>
      <c r="H27" s="286"/>
      <c r="I27" s="259"/>
      <c r="J27" s="317">
        <v>5.0</v>
      </c>
      <c r="K27" s="304" t="s">
        <v>194</v>
      </c>
      <c r="L27" s="318">
        <v>6.0</v>
      </c>
      <c r="M27" s="318">
        <v>7.0</v>
      </c>
      <c r="N27" s="318">
        <v>0.0</v>
      </c>
      <c r="O27" s="312">
        <v>4.0</v>
      </c>
      <c r="P27" s="313">
        <v>1513.05</v>
      </c>
      <c r="Q27" s="313">
        <v>1504.24</v>
      </c>
      <c r="R27" s="314">
        <f>P28-P27</f>
        <v>-35.5</v>
      </c>
      <c r="S27" s="259"/>
      <c r="T27" s="259"/>
      <c r="U27" s="259"/>
      <c r="V27" s="12"/>
      <c r="W27" s="12"/>
      <c r="X27" s="12"/>
      <c r="Y27" s="12"/>
      <c r="Z27" s="12"/>
    </row>
    <row r="28">
      <c r="A28" s="296" t="s">
        <v>152</v>
      </c>
      <c r="B28" s="208" t="s">
        <v>116</v>
      </c>
      <c r="C28" s="297">
        <v>10.0</v>
      </c>
      <c r="D28" s="209" t="s">
        <v>122</v>
      </c>
      <c r="E28" s="298">
        <v>179.69</v>
      </c>
      <c r="F28" s="295"/>
      <c r="G28" s="286"/>
      <c r="H28" s="286"/>
      <c r="I28" s="259"/>
      <c r="J28" s="319">
        <v>6.0</v>
      </c>
      <c r="K28" s="320" t="s">
        <v>195</v>
      </c>
      <c r="L28" s="321">
        <v>6.0</v>
      </c>
      <c r="M28" s="321">
        <v>7.0</v>
      </c>
      <c r="N28" s="321">
        <v>0.0</v>
      </c>
      <c r="O28" s="322">
        <v>4.0</v>
      </c>
      <c r="P28" s="323">
        <v>1477.55</v>
      </c>
      <c r="Q28" s="323">
        <v>1502.78</v>
      </c>
      <c r="R28" s="324">
        <f>P28-P28</f>
        <v>0</v>
      </c>
      <c r="S28" s="259"/>
      <c r="T28" s="259"/>
      <c r="U28" s="259"/>
      <c r="V28" s="12"/>
      <c r="W28" s="12"/>
      <c r="X28" s="12"/>
      <c r="Y28" s="12"/>
      <c r="Z28" s="12"/>
    </row>
    <row r="29">
      <c r="A29" s="325" t="s">
        <v>154</v>
      </c>
      <c r="B29" s="224" t="s">
        <v>178</v>
      </c>
      <c r="C29" s="326">
        <v>10.0</v>
      </c>
      <c r="D29" s="225" t="s">
        <v>122</v>
      </c>
      <c r="E29" s="327">
        <v>134.9</v>
      </c>
      <c r="F29" s="295"/>
      <c r="G29" s="286"/>
      <c r="H29" s="286"/>
      <c r="I29" s="259"/>
      <c r="J29" s="328">
        <v>7.0</v>
      </c>
      <c r="K29" s="329" t="s">
        <v>196</v>
      </c>
      <c r="L29" s="330">
        <v>6.0</v>
      </c>
      <c r="M29" s="330">
        <v>7.0</v>
      </c>
      <c r="N29" s="331">
        <v>0.0</v>
      </c>
      <c r="O29" s="332">
        <v>4.0</v>
      </c>
      <c r="P29" s="333">
        <v>1438.37</v>
      </c>
      <c r="Q29" s="334">
        <v>1338.82</v>
      </c>
      <c r="R29" s="335">
        <f>P28-P29</f>
        <v>39.18</v>
      </c>
      <c r="S29" s="259"/>
      <c r="T29" s="259"/>
      <c r="U29" s="259"/>
      <c r="V29" s="12"/>
      <c r="W29" s="12"/>
      <c r="X29" s="12"/>
      <c r="Y29" s="12"/>
      <c r="Z29" s="12"/>
    </row>
    <row r="30">
      <c r="A30" s="336" t="s">
        <v>190</v>
      </c>
      <c r="B30" s="208" t="s">
        <v>197</v>
      </c>
      <c r="C30" s="292">
        <v>5.0</v>
      </c>
      <c r="D30" s="297" t="s">
        <v>197</v>
      </c>
      <c r="E30" s="294" t="s">
        <v>197</v>
      </c>
      <c r="F30" s="295"/>
      <c r="G30" s="286"/>
      <c r="H30" s="286"/>
      <c r="I30" s="259"/>
      <c r="J30" s="337">
        <v>8.0</v>
      </c>
      <c r="K30" s="338" t="s">
        <v>198</v>
      </c>
      <c r="L30" s="334">
        <v>6.0</v>
      </c>
      <c r="M30" s="334">
        <v>7.0</v>
      </c>
      <c r="N30" s="334">
        <v>0.0</v>
      </c>
      <c r="O30" s="339">
        <v>4.0</v>
      </c>
      <c r="P30" s="334">
        <v>1433.68</v>
      </c>
      <c r="Q30" s="334">
        <v>1633.48</v>
      </c>
      <c r="R30" s="340">
        <f>P28-P30</f>
        <v>43.87</v>
      </c>
      <c r="S30" s="259"/>
      <c r="T30" s="259"/>
      <c r="U30" s="259"/>
      <c r="V30" s="12"/>
      <c r="W30" s="12"/>
      <c r="X30" s="12"/>
      <c r="Y30" s="12"/>
      <c r="Z30" s="12"/>
    </row>
    <row r="31">
      <c r="A31" s="296" t="s">
        <v>76</v>
      </c>
      <c r="B31" s="208" t="s">
        <v>46</v>
      </c>
      <c r="C31" s="297">
        <v>25.0</v>
      </c>
      <c r="D31" s="297" t="s">
        <v>122</v>
      </c>
      <c r="E31" s="298" t="s">
        <v>197</v>
      </c>
      <c r="F31" s="295"/>
      <c r="G31" s="286"/>
      <c r="H31" s="286"/>
      <c r="I31" s="259"/>
      <c r="J31" s="328">
        <v>9.0</v>
      </c>
      <c r="K31" s="329" t="s">
        <v>181</v>
      </c>
      <c r="L31" s="330">
        <v>5.0</v>
      </c>
      <c r="M31" s="330">
        <v>8.0</v>
      </c>
      <c r="N31" s="331">
        <v>0.0</v>
      </c>
      <c r="O31" s="332">
        <v>5.0</v>
      </c>
      <c r="P31" s="331">
        <v>1398.87</v>
      </c>
      <c r="Q31" s="331">
        <v>1480.66</v>
      </c>
      <c r="R31" s="340">
        <f>P28-P31</f>
        <v>78.68</v>
      </c>
      <c r="S31" s="259"/>
      <c r="T31" s="259"/>
      <c r="U31" s="259"/>
      <c r="V31" s="12"/>
      <c r="W31" s="12"/>
      <c r="X31" s="12"/>
      <c r="Y31" s="12"/>
      <c r="Z31" s="12"/>
    </row>
    <row r="32">
      <c r="A32" s="296" t="s">
        <v>77</v>
      </c>
      <c r="B32" s="208" t="s">
        <v>39</v>
      </c>
      <c r="C32" s="297">
        <v>50.0</v>
      </c>
      <c r="D32" s="297" t="s">
        <v>122</v>
      </c>
      <c r="E32" s="298" t="s">
        <v>197</v>
      </c>
      <c r="F32" s="295"/>
      <c r="G32" s="286"/>
      <c r="H32" s="341"/>
      <c r="I32" s="259"/>
      <c r="J32" s="337">
        <v>10.0</v>
      </c>
      <c r="K32" s="329" t="s">
        <v>199</v>
      </c>
      <c r="L32" s="330">
        <v>6.0</v>
      </c>
      <c r="M32" s="330">
        <v>7.0</v>
      </c>
      <c r="N32" s="331">
        <v>0.0</v>
      </c>
      <c r="O32" s="332">
        <v>4.0</v>
      </c>
      <c r="P32" s="331">
        <v>1379.31</v>
      </c>
      <c r="Q32" s="72">
        <v>1442.92</v>
      </c>
      <c r="R32" s="340">
        <f>P28-P32</f>
        <v>98.24</v>
      </c>
      <c r="S32" s="259"/>
      <c r="T32" s="259"/>
      <c r="U32" s="259"/>
      <c r="V32" s="12"/>
      <c r="W32" s="12"/>
      <c r="X32" s="12"/>
      <c r="Y32" s="12"/>
      <c r="Z32" s="12"/>
    </row>
    <row r="33">
      <c r="A33" s="296" t="s">
        <v>78</v>
      </c>
      <c r="B33" s="208" t="s">
        <v>116</v>
      </c>
      <c r="C33" s="297">
        <v>100.0</v>
      </c>
      <c r="D33" s="297" t="s">
        <v>122</v>
      </c>
      <c r="E33" s="298" t="s">
        <v>197</v>
      </c>
      <c r="F33" s="295"/>
      <c r="G33" s="286"/>
      <c r="H33" s="286"/>
      <c r="I33" s="259"/>
      <c r="J33" s="342">
        <v>11.0</v>
      </c>
      <c r="K33" s="329" t="s">
        <v>200</v>
      </c>
      <c r="L33" s="343">
        <v>2.0</v>
      </c>
      <c r="M33" s="343">
        <v>11.0</v>
      </c>
      <c r="N33" s="343">
        <v>0.0</v>
      </c>
      <c r="O33" s="344">
        <v>8.0</v>
      </c>
      <c r="P33" s="343">
        <v>1329.78</v>
      </c>
      <c r="Q33" s="345">
        <v>1593.74</v>
      </c>
      <c r="R33" s="340">
        <f>P28-P33</f>
        <v>147.77</v>
      </c>
      <c r="S33" s="259"/>
      <c r="T33" s="259"/>
      <c r="U33" s="259"/>
      <c r="V33" s="12"/>
      <c r="W33" s="12"/>
      <c r="X33" s="12"/>
      <c r="Y33" s="12"/>
      <c r="Z33" s="12"/>
    </row>
    <row r="34">
      <c r="A34" s="346" t="s">
        <v>79</v>
      </c>
      <c r="B34" s="347" t="s">
        <v>35</v>
      </c>
      <c r="C34" s="348">
        <v>290.0</v>
      </c>
      <c r="D34" s="348" t="s">
        <v>122</v>
      </c>
      <c r="E34" s="349" t="s">
        <v>197</v>
      </c>
      <c r="F34" s="295"/>
      <c r="G34" s="286"/>
      <c r="H34" s="286"/>
      <c r="I34" s="259"/>
      <c r="J34" s="350">
        <v>12.0</v>
      </c>
      <c r="K34" s="351" t="s">
        <v>201</v>
      </c>
      <c r="L34" s="352">
        <v>6.0</v>
      </c>
      <c r="M34" s="352">
        <v>7.0</v>
      </c>
      <c r="N34" s="352">
        <v>0.0</v>
      </c>
      <c r="O34" s="353">
        <v>4.0</v>
      </c>
      <c r="P34" s="352">
        <v>1226.73</v>
      </c>
      <c r="Q34" s="352">
        <v>1391.09</v>
      </c>
      <c r="R34" s="354">
        <f>P28-P34</f>
        <v>250.82</v>
      </c>
      <c r="S34" s="259"/>
      <c r="T34" s="259"/>
      <c r="U34" s="259"/>
      <c r="V34" s="12"/>
      <c r="W34" s="12"/>
      <c r="X34" s="12"/>
      <c r="Y34" s="12"/>
      <c r="Z34" s="12"/>
    </row>
    <row r="35">
      <c r="A35" s="355" t="s">
        <v>66</v>
      </c>
      <c r="B35" s="16"/>
      <c r="C35" s="356">
        <f>SUM(C16:C34)</f>
        <v>600</v>
      </c>
      <c r="D35" s="357"/>
      <c r="E35" s="358"/>
      <c r="F35" s="295"/>
      <c r="G35" s="286"/>
      <c r="H35" s="286"/>
      <c r="I35" s="259"/>
      <c r="J35" s="286"/>
      <c r="K35" s="286"/>
      <c r="L35" s="259"/>
      <c r="M35" s="259"/>
      <c r="N35" s="259"/>
      <c r="O35" s="260"/>
      <c r="P35" s="259"/>
      <c r="Q35" s="259"/>
      <c r="R35" s="259"/>
      <c r="S35" s="259"/>
      <c r="T35" s="259"/>
      <c r="U35" s="259"/>
      <c r="V35" s="12"/>
      <c r="W35" s="12"/>
      <c r="X35" s="12"/>
      <c r="Y35" s="12"/>
      <c r="Z35" s="12"/>
    </row>
    <row r="36">
      <c r="A36" s="359"/>
      <c r="B36" s="16"/>
      <c r="C36" s="360"/>
      <c r="D36" s="357"/>
      <c r="E36" s="358"/>
      <c r="F36" s="286"/>
      <c r="G36" s="286"/>
      <c r="H36" s="286"/>
      <c r="I36" s="259"/>
      <c r="J36" s="286"/>
      <c r="K36" s="286"/>
      <c r="L36" s="259"/>
      <c r="M36" s="259"/>
      <c r="N36" s="259"/>
      <c r="O36" s="260"/>
      <c r="P36" s="259"/>
      <c r="Q36" s="259"/>
      <c r="R36" s="259"/>
      <c r="S36" s="259"/>
      <c r="T36" s="259"/>
      <c r="U36" s="259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R39" s="12"/>
      <c r="S39" s="12"/>
      <c r="T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R40" s="12"/>
      <c r="S40" s="12"/>
      <c r="T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R41" s="12"/>
      <c r="S41" s="12"/>
      <c r="T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R42" s="12"/>
      <c r="S42" s="12"/>
      <c r="T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R43" s="12"/>
      <c r="S43" s="12"/>
      <c r="T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R44" s="12"/>
      <c r="S44" s="12"/>
      <c r="T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R45" s="12"/>
      <c r="S45" s="12"/>
      <c r="T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R46" s="12"/>
      <c r="S46" s="12"/>
      <c r="T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R47" s="12"/>
      <c r="S47" s="12"/>
      <c r="T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R48" s="12"/>
      <c r="S48" s="12"/>
      <c r="T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R49" s="12"/>
      <c r="S49" s="12"/>
      <c r="T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R50" s="12"/>
      <c r="S50" s="12"/>
      <c r="T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</sheetData>
  <mergeCells count="2">
    <mergeCell ref="A35:B35"/>
    <mergeCell ref="A36:B36"/>
  </mergeCells>
  <conditionalFormatting sqref="C17:C35">
    <cfRule type="notContainsBlanks" dxfId="0" priority="1">
      <formula>LEN(TRIM(C17))&gt;0</formula>
    </cfRule>
  </conditionalFormatting>
  <conditionalFormatting sqref="T2:T13">
    <cfRule type="containsText" dxfId="1" priority="2" operator="containsText" text="$0">
      <formula>NOT(ISERROR(SEARCH(("$0"),(T2))))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0"/>
    <col customWidth="1" min="3" max="3" width="10.88"/>
    <col customWidth="1" min="4" max="4" width="7.75"/>
    <col customWidth="1" min="5" max="5" width="9.25"/>
    <col customWidth="1" min="6" max="6" width="6.0"/>
    <col customWidth="1" min="7" max="7" width="7.38"/>
    <col customWidth="1" min="8" max="8" width="8.63"/>
    <col customWidth="1" min="9" max="9" width="7.0"/>
    <col customWidth="1" min="10" max="10" width="5.13"/>
    <col customWidth="1" min="11" max="11" width="17.88"/>
    <col customWidth="1" min="12" max="17" width="7.0"/>
    <col customWidth="1" min="18" max="21" width="11.0"/>
  </cols>
  <sheetData>
    <row r="1">
      <c r="A1" s="361"/>
      <c r="B1" s="361"/>
      <c r="C1" s="362" t="s">
        <v>202</v>
      </c>
      <c r="D1" s="361"/>
      <c r="E1" s="361"/>
      <c r="F1" s="361"/>
      <c r="G1" s="361"/>
      <c r="H1" s="361"/>
      <c r="I1" s="361"/>
      <c r="J1" s="363"/>
      <c r="K1" s="364"/>
      <c r="O1" s="365"/>
    </row>
    <row r="2">
      <c r="A2" s="366" t="s">
        <v>0</v>
      </c>
      <c r="B2" s="367" t="s">
        <v>108</v>
      </c>
      <c r="C2" s="367" t="s">
        <v>108</v>
      </c>
      <c r="D2" s="367" t="s">
        <v>203</v>
      </c>
      <c r="E2" s="367" t="s">
        <v>204</v>
      </c>
      <c r="F2" s="368" t="s">
        <v>205</v>
      </c>
      <c r="G2" s="369" t="s">
        <v>110</v>
      </c>
      <c r="H2" s="369" t="s">
        <v>111</v>
      </c>
      <c r="I2" s="369" t="s">
        <v>113</v>
      </c>
      <c r="J2" s="363"/>
      <c r="K2" s="364"/>
      <c r="P2" s="365"/>
      <c r="R2" s="370" t="s">
        <v>67</v>
      </c>
      <c r="S2" s="371" t="s">
        <v>114</v>
      </c>
      <c r="T2" s="372" t="s">
        <v>115</v>
      </c>
    </row>
    <row r="3">
      <c r="A3" s="373" t="s">
        <v>43</v>
      </c>
      <c r="B3" s="374">
        <v>0.0</v>
      </c>
      <c r="C3" s="375">
        <f t="shared" ref="C3:C14" si="1">10*B3</f>
        <v>0</v>
      </c>
      <c r="D3" s="376" t="s">
        <v>206</v>
      </c>
      <c r="E3" s="376">
        <v>0.0</v>
      </c>
      <c r="F3" s="376">
        <v>0.0</v>
      </c>
      <c r="G3" s="377">
        <f t="shared" ref="G3:G14" si="2">SUM(C3:F3)</f>
        <v>0</v>
      </c>
      <c r="H3" s="378">
        <f t="shared" ref="H3:H14" si="3">S3</f>
        <v>50</v>
      </c>
      <c r="I3" s="377">
        <f t="shared" ref="I3:I14" si="4">G3-H3</f>
        <v>-50</v>
      </c>
      <c r="J3" s="363"/>
      <c r="K3" s="364"/>
      <c r="M3" s="379"/>
      <c r="P3" s="365"/>
      <c r="R3" s="380" t="s">
        <v>43</v>
      </c>
      <c r="S3" s="381">
        <v>50.0</v>
      </c>
      <c r="T3" s="382">
        <f t="shared" ref="T3:T14" si="5">S3-50</f>
        <v>0</v>
      </c>
    </row>
    <row r="4">
      <c r="A4" s="383" t="s">
        <v>38</v>
      </c>
      <c r="B4" s="384">
        <v>3.0</v>
      </c>
      <c r="C4" s="385">
        <f t="shared" si="1"/>
        <v>30</v>
      </c>
      <c r="D4" s="376" t="s">
        <v>207</v>
      </c>
      <c r="E4" s="376">
        <v>0.0</v>
      </c>
      <c r="F4" s="386">
        <v>0.0</v>
      </c>
      <c r="G4" s="387">
        <f t="shared" si="2"/>
        <v>30</v>
      </c>
      <c r="H4" s="388">
        <f t="shared" si="3"/>
        <v>50</v>
      </c>
      <c r="I4" s="387">
        <f t="shared" si="4"/>
        <v>-20</v>
      </c>
      <c r="J4" s="363"/>
      <c r="K4" s="364"/>
      <c r="L4" s="389"/>
      <c r="P4" s="365"/>
      <c r="R4" s="380" t="s">
        <v>38</v>
      </c>
      <c r="S4" s="381">
        <v>50.0</v>
      </c>
      <c r="T4" s="382">
        <f t="shared" si="5"/>
        <v>0</v>
      </c>
    </row>
    <row r="5">
      <c r="A5" s="383" t="s">
        <v>31</v>
      </c>
      <c r="B5" s="384">
        <v>3.0</v>
      </c>
      <c r="C5" s="385">
        <f t="shared" si="1"/>
        <v>30</v>
      </c>
      <c r="D5" s="376" t="s">
        <v>207</v>
      </c>
      <c r="E5" s="376">
        <v>75.0</v>
      </c>
      <c r="F5" s="386"/>
      <c r="G5" s="387">
        <f t="shared" si="2"/>
        <v>105</v>
      </c>
      <c r="H5" s="388">
        <f t="shared" si="3"/>
        <v>50</v>
      </c>
      <c r="I5" s="387">
        <f t="shared" si="4"/>
        <v>55</v>
      </c>
      <c r="J5" s="363"/>
      <c r="K5" s="364"/>
      <c r="P5" s="365"/>
      <c r="R5" s="380" t="s">
        <v>31</v>
      </c>
      <c r="S5" s="381">
        <v>50.0</v>
      </c>
      <c r="T5" s="382">
        <f t="shared" si="5"/>
        <v>0</v>
      </c>
    </row>
    <row r="6">
      <c r="A6" s="383" t="s">
        <v>30</v>
      </c>
      <c r="B6" s="384">
        <v>1.0</v>
      </c>
      <c r="C6" s="385">
        <f t="shared" si="1"/>
        <v>10</v>
      </c>
      <c r="D6" s="376" t="s">
        <v>207</v>
      </c>
      <c r="E6" s="376">
        <v>0.0</v>
      </c>
      <c r="F6" s="386">
        <v>0.0</v>
      </c>
      <c r="G6" s="387">
        <f t="shared" si="2"/>
        <v>10</v>
      </c>
      <c r="H6" s="388">
        <f t="shared" si="3"/>
        <v>50</v>
      </c>
      <c r="I6" s="387">
        <f t="shared" si="4"/>
        <v>-40</v>
      </c>
      <c r="J6" s="363"/>
      <c r="K6" s="364"/>
      <c r="P6" s="365"/>
      <c r="R6" s="380" t="s">
        <v>30</v>
      </c>
      <c r="S6" s="381">
        <v>50.0</v>
      </c>
      <c r="T6" s="382">
        <f t="shared" si="5"/>
        <v>0</v>
      </c>
    </row>
    <row r="7">
      <c r="A7" s="383" t="s">
        <v>42</v>
      </c>
      <c r="B7" s="384">
        <v>0.0</v>
      </c>
      <c r="C7" s="385">
        <f t="shared" si="1"/>
        <v>0</v>
      </c>
      <c r="D7" s="376" t="s">
        <v>206</v>
      </c>
      <c r="E7" s="376">
        <v>0.0</v>
      </c>
      <c r="F7" s="376">
        <v>0.0</v>
      </c>
      <c r="G7" s="387">
        <f t="shared" si="2"/>
        <v>0</v>
      </c>
      <c r="H7" s="388">
        <f t="shared" si="3"/>
        <v>50</v>
      </c>
      <c r="I7" s="387">
        <f t="shared" si="4"/>
        <v>-50</v>
      </c>
      <c r="J7" s="363"/>
      <c r="K7" s="364"/>
      <c r="P7" s="365"/>
      <c r="R7" s="380" t="s">
        <v>42</v>
      </c>
      <c r="S7" s="381">
        <v>50.0</v>
      </c>
      <c r="T7" s="382">
        <f t="shared" si="5"/>
        <v>0</v>
      </c>
    </row>
    <row r="8">
      <c r="A8" s="383" t="s">
        <v>34</v>
      </c>
      <c r="B8" s="384">
        <v>2.0</v>
      </c>
      <c r="C8" s="385">
        <f t="shared" si="1"/>
        <v>20</v>
      </c>
      <c r="D8" s="376" t="s">
        <v>206</v>
      </c>
      <c r="E8" s="376">
        <v>0.0</v>
      </c>
      <c r="F8" s="376">
        <v>0.0</v>
      </c>
      <c r="G8" s="387">
        <f t="shared" si="2"/>
        <v>20</v>
      </c>
      <c r="H8" s="388">
        <f t="shared" si="3"/>
        <v>50</v>
      </c>
      <c r="I8" s="387">
        <f t="shared" si="4"/>
        <v>-30</v>
      </c>
      <c r="J8" s="363"/>
      <c r="K8" s="364"/>
      <c r="P8" s="365"/>
      <c r="R8" s="380" t="s">
        <v>34</v>
      </c>
      <c r="S8" s="381">
        <v>50.0</v>
      </c>
      <c r="T8" s="382">
        <f t="shared" si="5"/>
        <v>0</v>
      </c>
    </row>
    <row r="9">
      <c r="A9" s="383" t="s">
        <v>39</v>
      </c>
      <c r="B9" s="384">
        <v>1.0</v>
      </c>
      <c r="C9" s="385">
        <f t="shared" si="1"/>
        <v>10</v>
      </c>
      <c r="D9" s="376" t="s">
        <v>207</v>
      </c>
      <c r="E9" s="376">
        <v>0.0</v>
      </c>
      <c r="F9" s="376">
        <v>0.0</v>
      </c>
      <c r="G9" s="387">
        <f t="shared" si="2"/>
        <v>10</v>
      </c>
      <c r="H9" s="388">
        <f t="shared" si="3"/>
        <v>50</v>
      </c>
      <c r="I9" s="387">
        <f t="shared" si="4"/>
        <v>-40</v>
      </c>
      <c r="J9" s="363"/>
      <c r="K9" s="364"/>
      <c r="O9" s="365"/>
      <c r="P9" s="365"/>
      <c r="R9" s="380" t="s">
        <v>39</v>
      </c>
      <c r="S9" s="381">
        <v>50.0</v>
      </c>
      <c r="T9" s="382">
        <f t="shared" si="5"/>
        <v>0</v>
      </c>
    </row>
    <row r="10">
      <c r="A10" s="383" t="s">
        <v>36</v>
      </c>
      <c r="B10" s="384">
        <v>0.0</v>
      </c>
      <c r="C10" s="385">
        <f t="shared" si="1"/>
        <v>0</v>
      </c>
      <c r="D10" s="376" t="s">
        <v>206</v>
      </c>
      <c r="E10" s="376">
        <v>0.0</v>
      </c>
      <c r="F10" s="386">
        <v>0.0</v>
      </c>
      <c r="G10" s="387">
        <f t="shared" si="2"/>
        <v>0</v>
      </c>
      <c r="H10" s="388">
        <f t="shared" si="3"/>
        <v>50</v>
      </c>
      <c r="I10" s="387">
        <f t="shared" si="4"/>
        <v>-50</v>
      </c>
      <c r="J10" s="363"/>
      <c r="K10" s="364"/>
      <c r="O10" s="365"/>
      <c r="P10" s="365"/>
      <c r="R10" s="380" t="s">
        <v>36</v>
      </c>
      <c r="S10" s="381">
        <v>50.0</v>
      </c>
      <c r="T10" s="390">
        <f t="shared" si="5"/>
        <v>0</v>
      </c>
    </row>
    <row r="11">
      <c r="A11" s="383" t="s">
        <v>35</v>
      </c>
      <c r="B11" s="384">
        <v>1.0</v>
      </c>
      <c r="C11" s="385">
        <f t="shared" si="1"/>
        <v>10</v>
      </c>
      <c r="D11" s="376" t="s">
        <v>206</v>
      </c>
      <c r="E11" s="376">
        <v>0.0</v>
      </c>
      <c r="F11" s="376">
        <v>0.0</v>
      </c>
      <c r="G11" s="387">
        <f t="shared" si="2"/>
        <v>10</v>
      </c>
      <c r="H11" s="388">
        <f t="shared" si="3"/>
        <v>50</v>
      </c>
      <c r="I11" s="387">
        <f t="shared" si="4"/>
        <v>-40</v>
      </c>
      <c r="J11" s="363"/>
      <c r="K11" s="364"/>
      <c r="O11" s="365"/>
      <c r="P11" s="365"/>
      <c r="R11" s="380" t="s">
        <v>35</v>
      </c>
      <c r="S11" s="381">
        <v>50.0</v>
      </c>
      <c r="T11" s="382">
        <f t="shared" si="5"/>
        <v>0</v>
      </c>
    </row>
    <row r="12">
      <c r="A12" s="391" t="s">
        <v>178</v>
      </c>
      <c r="B12" s="384">
        <v>2.0</v>
      </c>
      <c r="C12" s="385">
        <f t="shared" si="1"/>
        <v>20</v>
      </c>
      <c r="D12" s="376" t="s">
        <v>207</v>
      </c>
      <c r="E12" s="376">
        <v>75.0</v>
      </c>
      <c r="F12" s="386"/>
      <c r="G12" s="387">
        <f t="shared" si="2"/>
        <v>95</v>
      </c>
      <c r="H12" s="388">
        <f t="shared" si="3"/>
        <v>50</v>
      </c>
      <c r="I12" s="387">
        <f t="shared" si="4"/>
        <v>45</v>
      </c>
      <c r="J12" s="363"/>
      <c r="K12" s="364"/>
      <c r="O12" s="365"/>
      <c r="P12" s="365"/>
      <c r="R12" s="380" t="s">
        <v>178</v>
      </c>
      <c r="S12" s="381">
        <v>50.0</v>
      </c>
      <c r="T12" s="382">
        <f t="shared" si="5"/>
        <v>0</v>
      </c>
    </row>
    <row r="13">
      <c r="A13" s="383" t="s">
        <v>116</v>
      </c>
      <c r="B13" s="384">
        <v>1.0</v>
      </c>
      <c r="C13" s="385">
        <f t="shared" si="1"/>
        <v>10</v>
      </c>
      <c r="D13" s="376" t="s">
        <v>206</v>
      </c>
      <c r="E13" s="376">
        <v>0.0</v>
      </c>
      <c r="F13" s="386">
        <v>0.0</v>
      </c>
      <c r="G13" s="387">
        <f t="shared" si="2"/>
        <v>10</v>
      </c>
      <c r="H13" s="388">
        <f t="shared" si="3"/>
        <v>50</v>
      </c>
      <c r="I13" s="387">
        <f t="shared" si="4"/>
        <v>-40</v>
      </c>
      <c r="J13" s="363"/>
      <c r="K13" s="364"/>
      <c r="O13" s="365"/>
      <c r="P13" s="365"/>
      <c r="R13" s="380" t="s">
        <v>116</v>
      </c>
      <c r="S13" s="381">
        <v>50.0</v>
      </c>
      <c r="T13" s="382">
        <f t="shared" si="5"/>
        <v>0</v>
      </c>
    </row>
    <row r="14">
      <c r="A14" s="392" t="s">
        <v>37</v>
      </c>
      <c r="B14" s="393">
        <v>1.0</v>
      </c>
      <c r="C14" s="394">
        <f t="shared" si="1"/>
        <v>10</v>
      </c>
      <c r="D14" s="395" t="s">
        <v>207</v>
      </c>
      <c r="E14" s="376">
        <v>0.0</v>
      </c>
      <c r="F14" s="376">
        <v>0.0</v>
      </c>
      <c r="G14" s="396">
        <f t="shared" si="2"/>
        <v>10</v>
      </c>
      <c r="H14" s="397">
        <f t="shared" si="3"/>
        <v>50</v>
      </c>
      <c r="I14" s="396">
        <f t="shared" si="4"/>
        <v>-40</v>
      </c>
      <c r="J14" s="363"/>
      <c r="K14" s="364"/>
      <c r="O14" s="365"/>
      <c r="R14" s="398" t="s">
        <v>37</v>
      </c>
      <c r="S14" s="399">
        <v>50.0</v>
      </c>
      <c r="T14" s="400">
        <f t="shared" si="5"/>
        <v>0</v>
      </c>
    </row>
    <row r="15">
      <c r="A15" s="361"/>
      <c r="B15" s="361"/>
      <c r="C15" s="362" t="s">
        <v>208</v>
      </c>
      <c r="D15" s="361"/>
      <c r="E15" s="361"/>
      <c r="F15" s="361"/>
      <c r="G15" s="361"/>
      <c r="H15" s="361"/>
      <c r="I15" s="361"/>
      <c r="J15" s="363"/>
      <c r="K15" s="364"/>
      <c r="O15" s="365"/>
      <c r="R15" s="401" t="s">
        <v>66</v>
      </c>
      <c r="S15" s="402">
        <f t="shared" ref="S15:T15" si="6">SUM(S3:S14)</f>
        <v>600</v>
      </c>
      <c r="T15" s="403">
        <f t="shared" si="6"/>
        <v>0</v>
      </c>
    </row>
    <row r="16">
      <c r="A16" s="366" t="s">
        <v>0</v>
      </c>
      <c r="B16" s="367" t="s">
        <v>108</v>
      </c>
      <c r="C16" s="367" t="s">
        <v>108</v>
      </c>
      <c r="D16" s="367" t="s">
        <v>203</v>
      </c>
      <c r="E16" s="367" t="s">
        <v>204</v>
      </c>
      <c r="F16" s="368" t="s">
        <v>205</v>
      </c>
      <c r="G16" s="369" t="s">
        <v>110</v>
      </c>
      <c r="H16" s="369" t="s">
        <v>111</v>
      </c>
      <c r="I16" s="369" t="s">
        <v>113</v>
      </c>
      <c r="J16" s="363"/>
      <c r="K16" s="364"/>
      <c r="O16" s="365"/>
    </row>
    <row r="17">
      <c r="A17" s="404" t="s">
        <v>43</v>
      </c>
      <c r="B17" s="405">
        <v>2.0</v>
      </c>
      <c r="C17" s="406">
        <f t="shared" ref="C17:C28" si="7">B17*10</f>
        <v>20</v>
      </c>
      <c r="D17" s="406">
        <v>25.0</v>
      </c>
      <c r="E17" s="406">
        <v>75.0</v>
      </c>
      <c r="F17" s="407">
        <v>135.0</v>
      </c>
      <c r="G17" s="408">
        <f t="shared" ref="G17:G28" si="8">SUM(C17:F17)</f>
        <v>255</v>
      </c>
      <c r="H17" s="408">
        <v>50.0</v>
      </c>
      <c r="I17" s="408">
        <f t="shared" ref="I17:I28" si="9">G17-H17</f>
        <v>205</v>
      </c>
      <c r="J17" s="363"/>
      <c r="K17" s="364"/>
      <c r="O17" s="365"/>
    </row>
    <row r="18">
      <c r="A18" s="409" t="s">
        <v>38</v>
      </c>
      <c r="B18" s="410">
        <v>0.0</v>
      </c>
      <c r="C18" s="411">
        <f t="shared" si="7"/>
        <v>0</v>
      </c>
      <c r="D18" s="411">
        <v>0.0</v>
      </c>
      <c r="E18" s="411">
        <v>0.0</v>
      </c>
      <c r="F18" s="412">
        <v>0.0</v>
      </c>
      <c r="G18" s="413">
        <f t="shared" si="8"/>
        <v>0</v>
      </c>
      <c r="H18" s="413">
        <v>50.0</v>
      </c>
      <c r="I18" s="413">
        <f t="shared" si="9"/>
        <v>-50</v>
      </c>
      <c r="J18" s="363"/>
      <c r="K18" s="364"/>
      <c r="O18" s="365"/>
    </row>
    <row r="19">
      <c r="A19" s="409" t="s">
        <v>31</v>
      </c>
      <c r="B19" s="410">
        <v>1.0</v>
      </c>
      <c r="C19" s="414">
        <f t="shared" si="7"/>
        <v>10</v>
      </c>
      <c r="D19" s="411">
        <v>0.0</v>
      </c>
      <c r="E19" s="411">
        <v>0.0</v>
      </c>
      <c r="F19" s="412">
        <v>0.0</v>
      </c>
      <c r="G19" s="413">
        <f t="shared" si="8"/>
        <v>10</v>
      </c>
      <c r="H19" s="413">
        <v>50.0</v>
      </c>
      <c r="I19" s="413">
        <f t="shared" si="9"/>
        <v>-40</v>
      </c>
      <c r="J19" s="363"/>
      <c r="K19" s="364"/>
    </row>
    <row r="20">
      <c r="A20" s="409" t="s">
        <v>30</v>
      </c>
      <c r="B20" s="410">
        <v>1.0</v>
      </c>
      <c r="C20" s="411">
        <f t="shared" si="7"/>
        <v>10</v>
      </c>
      <c r="D20" s="411">
        <v>0.0</v>
      </c>
      <c r="E20" s="411">
        <v>0.0</v>
      </c>
      <c r="F20" s="412">
        <v>0.0</v>
      </c>
      <c r="G20" s="413">
        <f t="shared" si="8"/>
        <v>10</v>
      </c>
      <c r="H20" s="413">
        <v>50.0</v>
      </c>
      <c r="I20" s="413">
        <f t="shared" si="9"/>
        <v>-40</v>
      </c>
      <c r="J20" s="363"/>
      <c r="K20" s="364"/>
    </row>
    <row r="21">
      <c r="A21" s="409" t="s">
        <v>42</v>
      </c>
      <c r="B21" s="410">
        <v>2.0</v>
      </c>
      <c r="C21" s="414">
        <f t="shared" si="7"/>
        <v>20</v>
      </c>
      <c r="D21" s="411">
        <v>25.0</v>
      </c>
      <c r="E21" s="411">
        <v>0.0</v>
      </c>
      <c r="F21" s="412">
        <v>0.0</v>
      </c>
      <c r="G21" s="413">
        <f t="shared" si="8"/>
        <v>45</v>
      </c>
      <c r="H21" s="413">
        <v>50.0</v>
      </c>
      <c r="I21" s="413">
        <f t="shared" si="9"/>
        <v>-5</v>
      </c>
      <c r="J21" s="363"/>
      <c r="K21" s="364"/>
    </row>
    <row r="22">
      <c r="A22" s="409" t="s">
        <v>34</v>
      </c>
      <c r="B22" s="410">
        <v>2.0</v>
      </c>
      <c r="C22" s="411">
        <f t="shared" si="7"/>
        <v>20</v>
      </c>
      <c r="D22" s="411">
        <v>25.0</v>
      </c>
      <c r="E22" s="411">
        <v>0.0</v>
      </c>
      <c r="F22" s="412">
        <v>0.0</v>
      </c>
      <c r="G22" s="413">
        <f t="shared" si="8"/>
        <v>45</v>
      </c>
      <c r="H22" s="413">
        <v>50.0</v>
      </c>
      <c r="I22" s="413">
        <f t="shared" si="9"/>
        <v>-5</v>
      </c>
      <c r="J22" s="363"/>
      <c r="K22" s="364"/>
      <c r="O22" s="365"/>
    </row>
    <row r="23">
      <c r="A23" s="409" t="s">
        <v>39</v>
      </c>
      <c r="B23" s="410">
        <v>0.0</v>
      </c>
      <c r="C23" s="414">
        <f t="shared" si="7"/>
        <v>0</v>
      </c>
      <c r="D23" s="411">
        <v>0.0</v>
      </c>
      <c r="E23" s="411">
        <v>0.0</v>
      </c>
      <c r="F23" s="412">
        <v>0.0</v>
      </c>
      <c r="G23" s="413">
        <f t="shared" si="8"/>
        <v>0</v>
      </c>
      <c r="H23" s="413">
        <v>50.0</v>
      </c>
      <c r="I23" s="413">
        <f t="shared" si="9"/>
        <v>-50</v>
      </c>
      <c r="J23" s="363"/>
      <c r="K23" s="364"/>
      <c r="O23" s="365"/>
    </row>
    <row r="24">
      <c r="A24" s="409" t="s">
        <v>36</v>
      </c>
      <c r="B24" s="410">
        <v>0.0</v>
      </c>
      <c r="C24" s="414">
        <f t="shared" si="7"/>
        <v>0</v>
      </c>
      <c r="D24" s="411">
        <v>0.0</v>
      </c>
      <c r="E24" s="411">
        <v>0.0</v>
      </c>
      <c r="F24" s="412">
        <v>0.0</v>
      </c>
      <c r="G24" s="413">
        <f t="shared" si="8"/>
        <v>0</v>
      </c>
      <c r="H24" s="413">
        <v>50.0</v>
      </c>
      <c r="I24" s="413">
        <f t="shared" si="9"/>
        <v>-50</v>
      </c>
      <c r="J24" s="363"/>
      <c r="K24" s="364"/>
      <c r="O24" s="365"/>
    </row>
    <row r="25">
      <c r="A25" s="409" t="s">
        <v>35</v>
      </c>
      <c r="B25" s="410">
        <v>2.0</v>
      </c>
      <c r="C25" s="414">
        <f t="shared" si="7"/>
        <v>20</v>
      </c>
      <c r="D25" s="411">
        <v>0.0</v>
      </c>
      <c r="E25" s="411">
        <v>0.0</v>
      </c>
      <c r="F25" s="412">
        <v>0.0</v>
      </c>
      <c r="G25" s="413">
        <f t="shared" si="8"/>
        <v>20</v>
      </c>
      <c r="H25" s="413">
        <v>50.0</v>
      </c>
      <c r="I25" s="413">
        <f t="shared" si="9"/>
        <v>-30</v>
      </c>
      <c r="J25" s="363"/>
      <c r="K25" s="364"/>
      <c r="O25" s="365"/>
    </row>
    <row r="26">
      <c r="A26" s="415" t="s">
        <v>178</v>
      </c>
      <c r="B26" s="410">
        <v>3.0</v>
      </c>
      <c r="C26" s="411">
        <f t="shared" si="7"/>
        <v>30</v>
      </c>
      <c r="D26" s="411">
        <v>25.0</v>
      </c>
      <c r="E26" s="411">
        <v>0.0</v>
      </c>
      <c r="F26" s="412">
        <v>0.0</v>
      </c>
      <c r="G26" s="413">
        <f t="shared" si="8"/>
        <v>55</v>
      </c>
      <c r="H26" s="413">
        <v>50.0</v>
      </c>
      <c r="I26" s="413">
        <f t="shared" si="9"/>
        <v>5</v>
      </c>
      <c r="J26" s="363"/>
      <c r="K26" s="364"/>
      <c r="O26" s="365"/>
    </row>
    <row r="27">
      <c r="A27" s="409" t="s">
        <v>116</v>
      </c>
      <c r="B27" s="410">
        <v>1.0</v>
      </c>
      <c r="C27" s="414">
        <f t="shared" si="7"/>
        <v>10</v>
      </c>
      <c r="D27" s="411">
        <v>25.0</v>
      </c>
      <c r="E27" s="411">
        <v>0.0</v>
      </c>
      <c r="F27" s="412">
        <v>0.0</v>
      </c>
      <c r="G27" s="413">
        <f t="shared" si="8"/>
        <v>35</v>
      </c>
      <c r="H27" s="413">
        <v>50.0</v>
      </c>
      <c r="I27" s="413">
        <f t="shared" si="9"/>
        <v>-15</v>
      </c>
      <c r="J27" s="363"/>
      <c r="K27" s="364"/>
      <c r="O27" s="365"/>
    </row>
    <row r="28">
      <c r="A28" s="416" t="s">
        <v>37</v>
      </c>
      <c r="B28" s="417">
        <v>2.0</v>
      </c>
      <c r="C28" s="418">
        <f t="shared" si="7"/>
        <v>20</v>
      </c>
      <c r="D28" s="418">
        <v>25.0</v>
      </c>
      <c r="E28" s="418">
        <v>75.0</v>
      </c>
      <c r="F28" s="419">
        <v>0.0</v>
      </c>
      <c r="G28" s="420">
        <f t="shared" si="8"/>
        <v>120</v>
      </c>
      <c r="H28" s="420">
        <v>50.0</v>
      </c>
      <c r="I28" s="420">
        <f t="shared" si="9"/>
        <v>70</v>
      </c>
      <c r="J28" s="363"/>
      <c r="K28" s="364"/>
      <c r="O28" s="365"/>
    </row>
    <row r="29">
      <c r="A29" s="363"/>
      <c r="B29" s="363"/>
      <c r="C29" s="363"/>
      <c r="D29" s="363"/>
      <c r="E29" s="363"/>
      <c r="F29" s="363"/>
      <c r="G29" s="363"/>
      <c r="H29" s="363"/>
      <c r="I29" s="363"/>
      <c r="J29" s="363"/>
      <c r="K29" s="364"/>
      <c r="O29" s="365"/>
    </row>
    <row r="30">
      <c r="A30" s="12"/>
      <c r="B30" s="12"/>
      <c r="C30" s="421">
        <f t="shared" ref="C30:F30" si="10">SUM(C17:C28)</f>
        <v>160</v>
      </c>
      <c r="D30" s="421">
        <f t="shared" si="10"/>
        <v>150</v>
      </c>
      <c r="E30" s="421">
        <f t="shared" si="10"/>
        <v>150</v>
      </c>
      <c r="F30" s="421">
        <f t="shared" si="10"/>
        <v>135</v>
      </c>
      <c r="G30" s="421"/>
      <c r="H30" s="422"/>
      <c r="I30" s="12"/>
      <c r="J30" s="422"/>
      <c r="K30" s="364"/>
      <c r="O30" s="365"/>
    </row>
    <row r="31">
      <c r="A31" s="287" t="s">
        <v>118</v>
      </c>
      <c r="B31" s="288" t="s">
        <v>0</v>
      </c>
      <c r="C31" s="288" t="s">
        <v>119</v>
      </c>
      <c r="D31" s="288" t="s">
        <v>114</v>
      </c>
      <c r="E31" s="289" t="s">
        <v>120</v>
      </c>
      <c r="F31" s="422"/>
      <c r="G31" s="422"/>
      <c r="H31" s="422"/>
      <c r="I31" s="12"/>
      <c r="J31" s="299" t="s">
        <v>123</v>
      </c>
      <c r="K31" s="423" t="s">
        <v>124</v>
      </c>
      <c r="L31" s="424" t="s">
        <v>125</v>
      </c>
      <c r="M31" s="424" t="s">
        <v>126</v>
      </c>
      <c r="N31" s="424" t="s">
        <v>127</v>
      </c>
      <c r="O31" s="424" t="s">
        <v>128</v>
      </c>
      <c r="P31" s="424" t="s">
        <v>129</v>
      </c>
      <c r="Q31" s="424" t="s">
        <v>130</v>
      </c>
      <c r="R31" s="425" t="s">
        <v>131</v>
      </c>
    </row>
    <row r="32">
      <c r="A32" s="290" t="s">
        <v>121</v>
      </c>
      <c r="B32" s="291" t="s">
        <v>38</v>
      </c>
      <c r="C32" s="292">
        <v>10.0</v>
      </c>
      <c r="D32" s="292" t="s">
        <v>122</v>
      </c>
      <c r="E32" s="294">
        <v>165.5</v>
      </c>
      <c r="F32" s="426"/>
      <c r="G32" s="422"/>
      <c r="H32" s="422"/>
      <c r="I32" s="12"/>
      <c r="J32" s="303">
        <v>1.0</v>
      </c>
      <c r="K32" s="304" t="s">
        <v>209</v>
      </c>
      <c r="L32" s="305">
        <v>10.0</v>
      </c>
      <c r="M32" s="305">
        <v>3.0</v>
      </c>
      <c r="N32" s="305">
        <v>0.0</v>
      </c>
      <c r="O32" s="306">
        <v>0.0</v>
      </c>
      <c r="P32" s="305">
        <v>1712.5</v>
      </c>
      <c r="Q32" s="305">
        <v>1500.5</v>
      </c>
      <c r="R32" s="427" t="s">
        <v>197</v>
      </c>
    </row>
    <row r="33">
      <c r="A33" s="296" t="s">
        <v>132</v>
      </c>
      <c r="B33" s="208" t="s">
        <v>116</v>
      </c>
      <c r="C33" s="297">
        <v>10.0</v>
      </c>
      <c r="D33" s="297" t="s">
        <v>122</v>
      </c>
      <c r="E33" s="298">
        <v>139.0</v>
      </c>
      <c r="F33" s="426"/>
      <c r="G33" s="422"/>
      <c r="H33" s="422"/>
      <c r="I33" s="12"/>
      <c r="J33" s="309">
        <v>2.0</v>
      </c>
      <c r="K33" s="310" t="s">
        <v>210</v>
      </c>
      <c r="L33" s="311">
        <v>9.0</v>
      </c>
      <c r="M33" s="311">
        <v>4.0</v>
      </c>
      <c r="N33" s="311">
        <v>0.0</v>
      </c>
      <c r="O33" s="312">
        <v>1.0</v>
      </c>
      <c r="P33" s="428">
        <v>1703.5</v>
      </c>
      <c r="Q33" s="428">
        <v>1508.0</v>
      </c>
      <c r="R33" s="429" t="s">
        <v>197</v>
      </c>
    </row>
    <row r="34">
      <c r="A34" s="296" t="s">
        <v>134</v>
      </c>
      <c r="B34" s="208" t="s">
        <v>30</v>
      </c>
      <c r="C34" s="297">
        <v>10.0</v>
      </c>
      <c r="D34" s="297" t="s">
        <v>122</v>
      </c>
      <c r="E34" s="298">
        <v>196.0</v>
      </c>
      <c r="F34" s="426"/>
      <c r="G34" s="422"/>
      <c r="H34" s="422"/>
      <c r="I34" s="12"/>
      <c r="J34" s="309">
        <v>3.0</v>
      </c>
      <c r="K34" s="310" t="s">
        <v>143</v>
      </c>
      <c r="L34" s="311">
        <v>8.0</v>
      </c>
      <c r="M34" s="311">
        <v>5.0</v>
      </c>
      <c r="N34" s="311">
        <v>0.0</v>
      </c>
      <c r="O34" s="312">
        <v>2.0</v>
      </c>
      <c r="P34" s="428">
        <v>1597.5</v>
      </c>
      <c r="Q34" s="428">
        <v>1662.0</v>
      </c>
      <c r="R34" s="429" t="s">
        <v>197</v>
      </c>
    </row>
    <row r="35">
      <c r="A35" s="296" t="s">
        <v>136</v>
      </c>
      <c r="B35" s="208" t="s">
        <v>34</v>
      </c>
      <c r="C35" s="297">
        <v>10.0</v>
      </c>
      <c r="D35" s="209" t="s">
        <v>122</v>
      </c>
      <c r="E35" s="298">
        <v>167.5</v>
      </c>
      <c r="F35" s="426"/>
      <c r="G35" s="422"/>
      <c r="H35" s="422"/>
      <c r="I35" s="12"/>
      <c r="J35" s="309">
        <v>4.0</v>
      </c>
      <c r="K35" s="310" t="s">
        <v>187</v>
      </c>
      <c r="L35" s="311">
        <v>7.0</v>
      </c>
      <c r="M35" s="311">
        <v>6.0</v>
      </c>
      <c r="N35" s="311">
        <v>0.0</v>
      </c>
      <c r="O35" s="312">
        <v>3.0</v>
      </c>
      <c r="P35" s="428">
        <v>1685.0</v>
      </c>
      <c r="Q35" s="428">
        <v>1564.0</v>
      </c>
      <c r="R35" s="429" t="s">
        <v>197</v>
      </c>
    </row>
    <row r="36">
      <c r="A36" s="296" t="s">
        <v>138</v>
      </c>
      <c r="B36" s="208" t="s">
        <v>38</v>
      </c>
      <c r="C36" s="297">
        <v>10.0</v>
      </c>
      <c r="D36" s="297" t="s">
        <v>122</v>
      </c>
      <c r="E36" s="298">
        <v>181.0</v>
      </c>
      <c r="F36" s="426"/>
      <c r="G36" s="422"/>
      <c r="H36" s="422"/>
      <c r="I36" s="12"/>
      <c r="J36" s="317">
        <v>5.0</v>
      </c>
      <c r="K36" s="310" t="s">
        <v>211</v>
      </c>
      <c r="L36" s="311">
        <v>7.0</v>
      </c>
      <c r="M36" s="311">
        <v>6.0</v>
      </c>
      <c r="N36" s="311">
        <v>0.0</v>
      </c>
      <c r="O36" s="312">
        <v>3.0</v>
      </c>
      <c r="P36" s="428">
        <v>1675.5</v>
      </c>
      <c r="Q36" s="428">
        <v>1631.5</v>
      </c>
      <c r="R36" s="430" t="s">
        <v>197</v>
      </c>
    </row>
    <row r="37">
      <c r="A37" s="296" t="s">
        <v>140</v>
      </c>
      <c r="B37" s="208" t="s">
        <v>178</v>
      </c>
      <c r="C37" s="297">
        <v>10.0</v>
      </c>
      <c r="D37" s="297" t="s">
        <v>122</v>
      </c>
      <c r="E37" s="298">
        <v>155.0</v>
      </c>
      <c r="F37" s="426"/>
      <c r="G37" s="422"/>
      <c r="H37" s="422"/>
      <c r="I37" s="12"/>
      <c r="J37" s="319">
        <v>6.0</v>
      </c>
      <c r="K37" s="320" t="s">
        <v>212</v>
      </c>
      <c r="L37" s="321">
        <v>7.0</v>
      </c>
      <c r="M37" s="321">
        <v>6.0</v>
      </c>
      <c r="N37" s="321">
        <v>0.0</v>
      </c>
      <c r="O37" s="431">
        <v>3.0</v>
      </c>
      <c r="P37" s="321">
        <v>1669.0</v>
      </c>
      <c r="Q37" s="321">
        <v>1613.5</v>
      </c>
      <c r="R37" s="432" t="s">
        <v>197</v>
      </c>
    </row>
    <row r="38">
      <c r="A38" s="296" t="s">
        <v>142</v>
      </c>
      <c r="B38" s="208" t="s">
        <v>34</v>
      </c>
      <c r="C38" s="297">
        <v>10.0</v>
      </c>
      <c r="D38" s="297" t="s">
        <v>122</v>
      </c>
      <c r="E38" s="298">
        <v>138.5</v>
      </c>
      <c r="F38" s="426"/>
      <c r="G38" s="422"/>
      <c r="H38" s="422"/>
      <c r="I38" s="12"/>
      <c r="J38" s="328">
        <v>7.0</v>
      </c>
      <c r="K38" s="338" t="s">
        <v>213</v>
      </c>
      <c r="L38" s="334">
        <v>7.0</v>
      </c>
      <c r="M38" s="334">
        <v>6.0</v>
      </c>
      <c r="N38" s="334">
        <v>0.0</v>
      </c>
      <c r="O38" s="339">
        <v>3.0</v>
      </c>
      <c r="P38" s="334">
        <v>1622.0</v>
      </c>
      <c r="Q38" s="334">
        <v>1646.5</v>
      </c>
      <c r="R38" s="433">
        <f>P37-P38</f>
        <v>47</v>
      </c>
    </row>
    <row r="39">
      <c r="A39" s="296" t="s">
        <v>144</v>
      </c>
      <c r="B39" s="208" t="s">
        <v>214</v>
      </c>
      <c r="C39" s="297">
        <v>10.0</v>
      </c>
      <c r="D39" s="297" t="s">
        <v>122</v>
      </c>
      <c r="E39" s="298">
        <v>165.5</v>
      </c>
      <c r="F39" s="426"/>
      <c r="G39" s="422"/>
      <c r="H39" s="422"/>
      <c r="I39" s="12"/>
      <c r="J39" s="337">
        <v>8.0</v>
      </c>
      <c r="K39" s="434" t="s">
        <v>215</v>
      </c>
      <c r="L39" s="330">
        <v>7.0</v>
      </c>
      <c r="M39" s="330">
        <v>6.0</v>
      </c>
      <c r="N39" s="331">
        <v>0.0</v>
      </c>
      <c r="O39" s="332">
        <v>3.0</v>
      </c>
      <c r="P39" s="331">
        <v>1602.0</v>
      </c>
      <c r="Q39" s="331">
        <v>1607.0</v>
      </c>
      <c r="R39" s="435">
        <f>P37-P39</f>
        <v>67</v>
      </c>
    </row>
    <row r="40">
      <c r="A40" s="296" t="s">
        <v>146</v>
      </c>
      <c r="B40" s="208" t="s">
        <v>37</v>
      </c>
      <c r="C40" s="297">
        <v>10.0</v>
      </c>
      <c r="D40" s="297" t="s">
        <v>122</v>
      </c>
      <c r="E40" s="298">
        <v>181.0</v>
      </c>
      <c r="F40" s="426"/>
      <c r="G40" s="422"/>
      <c r="H40" s="422"/>
      <c r="I40" s="12"/>
      <c r="J40" s="328">
        <v>9.0</v>
      </c>
      <c r="K40" s="329" t="s">
        <v>149</v>
      </c>
      <c r="L40" s="330">
        <v>5.0</v>
      </c>
      <c r="M40" s="330">
        <v>8.0</v>
      </c>
      <c r="N40" s="331">
        <v>0.0</v>
      </c>
      <c r="O40" s="332">
        <v>5.0</v>
      </c>
      <c r="P40" s="330">
        <v>1589.0</v>
      </c>
      <c r="Q40" s="330">
        <v>1570.0</v>
      </c>
      <c r="R40" s="435">
        <f>P37-P40</f>
        <v>80</v>
      </c>
    </row>
    <row r="41">
      <c r="A41" s="296" t="s">
        <v>148</v>
      </c>
      <c r="B41" s="208" t="s">
        <v>38</v>
      </c>
      <c r="C41" s="297">
        <v>10.0</v>
      </c>
      <c r="D41" s="297" t="s">
        <v>122</v>
      </c>
      <c r="E41" s="298">
        <v>159.0</v>
      </c>
      <c r="F41" s="426"/>
      <c r="G41" s="422"/>
      <c r="H41" s="422"/>
      <c r="I41" s="12"/>
      <c r="J41" s="337">
        <v>10.0</v>
      </c>
      <c r="K41" s="329" t="s">
        <v>216</v>
      </c>
      <c r="L41" s="330">
        <v>5.0</v>
      </c>
      <c r="M41" s="330">
        <v>8.0</v>
      </c>
      <c r="N41" s="331">
        <v>0.0</v>
      </c>
      <c r="O41" s="332">
        <v>5.0</v>
      </c>
      <c r="P41" s="330">
        <v>1556.5</v>
      </c>
      <c r="Q41" s="330">
        <v>1626.0</v>
      </c>
      <c r="R41" s="435">
        <f>P37-P41</f>
        <v>112.5</v>
      </c>
    </row>
    <row r="42">
      <c r="A42" s="296" t="s">
        <v>150</v>
      </c>
      <c r="B42" s="208" t="s">
        <v>31</v>
      </c>
      <c r="C42" s="297">
        <v>10.0</v>
      </c>
      <c r="D42" s="297" t="s">
        <v>122</v>
      </c>
      <c r="E42" s="298">
        <v>144.5</v>
      </c>
      <c r="F42" s="426"/>
      <c r="G42" s="422"/>
      <c r="H42" s="422"/>
      <c r="I42" s="12"/>
      <c r="J42" s="342">
        <v>11.0</v>
      </c>
      <c r="K42" s="329" t="s">
        <v>217</v>
      </c>
      <c r="L42" s="343">
        <v>3.0</v>
      </c>
      <c r="M42" s="343">
        <v>10.0</v>
      </c>
      <c r="N42" s="343">
        <v>0.0</v>
      </c>
      <c r="O42" s="344">
        <v>7.0</v>
      </c>
      <c r="P42" s="343">
        <v>1473.0</v>
      </c>
      <c r="Q42" s="343">
        <v>1690.5</v>
      </c>
      <c r="R42" s="436">
        <f>P37-P42</f>
        <v>196</v>
      </c>
    </row>
    <row r="43">
      <c r="A43" s="296" t="s">
        <v>152</v>
      </c>
      <c r="B43" s="208" t="s">
        <v>178</v>
      </c>
      <c r="C43" s="297">
        <v>10.0</v>
      </c>
      <c r="D43" s="297" t="s">
        <v>122</v>
      </c>
      <c r="E43" s="298">
        <v>176.0</v>
      </c>
      <c r="F43" s="426"/>
      <c r="G43" s="422"/>
      <c r="H43" s="422"/>
      <c r="I43" s="12"/>
      <c r="J43" s="350">
        <v>12.0</v>
      </c>
      <c r="K43" s="351" t="s">
        <v>218</v>
      </c>
      <c r="L43" s="352">
        <v>3.0</v>
      </c>
      <c r="M43" s="352">
        <v>10.0</v>
      </c>
      <c r="N43" s="352">
        <v>0.0</v>
      </c>
      <c r="O43" s="353">
        <v>7.0</v>
      </c>
      <c r="P43" s="352">
        <v>1430.5</v>
      </c>
      <c r="Q43" s="352">
        <v>1696.5</v>
      </c>
      <c r="R43" s="437">
        <f>P37-P43</f>
        <v>238.5</v>
      </c>
    </row>
    <row r="44">
      <c r="A44" s="325" t="s">
        <v>154</v>
      </c>
      <c r="B44" s="224" t="s">
        <v>39</v>
      </c>
      <c r="C44" s="326">
        <v>10.0</v>
      </c>
      <c r="D44" s="326" t="s">
        <v>122</v>
      </c>
      <c r="E44" s="327">
        <v>148.5</v>
      </c>
      <c r="F44" s="426"/>
      <c r="G44" s="422"/>
      <c r="H44" s="422"/>
      <c r="I44" s="12"/>
      <c r="J44" s="422"/>
      <c r="K44" s="364"/>
      <c r="O44" s="365"/>
    </row>
    <row r="45">
      <c r="A45" s="438" t="s">
        <v>156</v>
      </c>
      <c r="B45" s="228" t="s">
        <v>31</v>
      </c>
      <c r="C45" s="439">
        <v>10.0</v>
      </c>
      <c r="D45" s="439" t="s">
        <v>122</v>
      </c>
      <c r="E45" s="440">
        <v>129.5</v>
      </c>
      <c r="F45" s="426"/>
      <c r="G45" s="422"/>
      <c r="H45" s="422"/>
      <c r="I45" s="12"/>
      <c r="J45" s="422"/>
    </row>
    <row r="46">
      <c r="A46" s="296" t="s">
        <v>219</v>
      </c>
      <c r="B46" s="208" t="s">
        <v>31</v>
      </c>
      <c r="C46" s="297">
        <v>10.0</v>
      </c>
      <c r="D46" s="297" t="s">
        <v>122</v>
      </c>
      <c r="E46" s="298">
        <v>192.5</v>
      </c>
      <c r="F46" s="426"/>
      <c r="G46" s="422"/>
      <c r="H46" s="422"/>
      <c r="I46" s="12"/>
      <c r="J46" s="422"/>
      <c r="K46" s="364"/>
      <c r="O46" s="365"/>
    </row>
    <row r="47">
      <c r="A47" s="296" t="s">
        <v>220</v>
      </c>
      <c r="B47" s="208" t="s">
        <v>178</v>
      </c>
      <c r="C47" s="297">
        <v>10.0</v>
      </c>
      <c r="D47" s="297" t="s">
        <v>122</v>
      </c>
      <c r="E47" s="298">
        <v>151.5</v>
      </c>
      <c r="F47" s="426"/>
      <c r="G47" s="422"/>
      <c r="H47" s="441"/>
      <c r="I47" s="12"/>
      <c r="J47" s="422"/>
      <c r="K47" s="364"/>
      <c r="O47" s="365"/>
    </row>
    <row r="48">
      <c r="A48" s="296" t="s">
        <v>221</v>
      </c>
      <c r="B48" s="208" t="s">
        <v>38</v>
      </c>
      <c r="C48" s="297">
        <v>25.0</v>
      </c>
      <c r="D48" s="297" t="s">
        <v>122</v>
      </c>
      <c r="E48" s="442"/>
      <c r="F48" s="426"/>
      <c r="G48" s="422"/>
      <c r="H48" s="441"/>
      <c r="I48" s="441"/>
      <c r="J48" s="422"/>
      <c r="K48" s="364"/>
      <c r="O48" s="365"/>
    </row>
    <row r="49">
      <c r="A49" s="296" t="s">
        <v>222</v>
      </c>
      <c r="B49" s="208" t="s">
        <v>178</v>
      </c>
      <c r="C49" s="297">
        <v>25.0</v>
      </c>
      <c r="D49" s="297" t="s">
        <v>122</v>
      </c>
      <c r="E49" s="442"/>
      <c r="F49" s="426"/>
      <c r="G49" s="422"/>
      <c r="H49" s="422"/>
      <c r="I49" s="441"/>
      <c r="J49" s="422"/>
      <c r="K49" s="364"/>
      <c r="O49" s="365"/>
    </row>
    <row r="50">
      <c r="A50" s="296" t="s">
        <v>223</v>
      </c>
      <c r="B50" s="208" t="s">
        <v>39</v>
      </c>
      <c r="C50" s="297">
        <v>25.0</v>
      </c>
      <c r="D50" s="297" t="s">
        <v>122</v>
      </c>
      <c r="E50" s="442"/>
      <c r="F50" s="426"/>
      <c r="G50" s="422"/>
      <c r="H50" s="422"/>
      <c r="I50" s="441"/>
      <c r="J50" s="422"/>
      <c r="K50" s="364"/>
      <c r="O50" s="365"/>
    </row>
    <row r="51">
      <c r="A51" s="296" t="s">
        <v>224</v>
      </c>
      <c r="B51" s="208" t="s">
        <v>37</v>
      </c>
      <c r="C51" s="297">
        <v>25.0</v>
      </c>
      <c r="D51" s="297" t="s">
        <v>122</v>
      </c>
      <c r="E51" s="442"/>
      <c r="F51" s="426"/>
      <c r="G51" s="422"/>
      <c r="H51" s="441"/>
      <c r="I51" s="12"/>
      <c r="J51" s="422"/>
      <c r="K51" s="364"/>
      <c r="O51" s="365"/>
    </row>
    <row r="52">
      <c r="A52" s="296" t="s">
        <v>225</v>
      </c>
      <c r="B52" s="208" t="s">
        <v>31</v>
      </c>
      <c r="C52" s="297">
        <v>25.0</v>
      </c>
      <c r="D52" s="297" t="s">
        <v>122</v>
      </c>
      <c r="E52" s="442"/>
      <c r="F52" s="426"/>
      <c r="G52" s="422"/>
      <c r="H52" s="422"/>
      <c r="I52" s="12"/>
      <c r="J52" s="422"/>
      <c r="K52" s="364"/>
      <c r="O52" s="365"/>
    </row>
    <row r="53">
      <c r="A53" s="296" t="s">
        <v>226</v>
      </c>
      <c r="B53" s="208" t="s">
        <v>30</v>
      </c>
      <c r="C53" s="297">
        <v>25.0</v>
      </c>
      <c r="D53" s="297" t="s">
        <v>122</v>
      </c>
      <c r="E53" s="442"/>
      <c r="F53" s="426"/>
      <c r="G53" s="422"/>
      <c r="H53" s="422"/>
      <c r="I53" s="12"/>
      <c r="J53" s="422"/>
      <c r="K53" s="364"/>
      <c r="O53" s="365"/>
    </row>
    <row r="54">
      <c r="A54" s="296" t="s">
        <v>227</v>
      </c>
      <c r="B54" s="208" t="s">
        <v>31</v>
      </c>
      <c r="C54" s="297">
        <v>75.0</v>
      </c>
      <c r="D54" s="297" t="s">
        <v>122</v>
      </c>
      <c r="E54" s="442"/>
      <c r="F54" s="426"/>
      <c r="G54" s="422"/>
      <c r="H54" s="422"/>
      <c r="I54" s="12"/>
      <c r="J54" s="422"/>
      <c r="K54" s="364"/>
      <c r="O54" s="365"/>
    </row>
    <row r="55">
      <c r="A55" s="296" t="s">
        <v>228</v>
      </c>
      <c r="B55" s="208" t="s">
        <v>178</v>
      </c>
      <c r="C55" s="297">
        <v>75.0</v>
      </c>
      <c r="D55" s="297" t="s">
        <v>122</v>
      </c>
      <c r="E55" s="442"/>
      <c r="F55" s="426"/>
      <c r="G55" s="422"/>
      <c r="H55" s="422"/>
      <c r="I55" s="12"/>
      <c r="J55" s="422"/>
      <c r="K55" s="364"/>
      <c r="O55" s="365"/>
    </row>
    <row r="56">
      <c r="A56" s="325" t="s">
        <v>79</v>
      </c>
      <c r="B56" s="224" t="s">
        <v>178</v>
      </c>
      <c r="C56" s="326">
        <v>135.0</v>
      </c>
      <c r="D56" s="326" t="s">
        <v>122</v>
      </c>
      <c r="E56" s="443"/>
      <c r="F56" s="426"/>
      <c r="G56" s="422"/>
      <c r="H56" s="422"/>
      <c r="I56" s="12"/>
      <c r="J56" s="422"/>
      <c r="K56" s="364"/>
      <c r="O56" s="365"/>
    </row>
    <row r="57">
      <c r="A57" s="12"/>
      <c r="B57" s="12"/>
      <c r="C57" s="444">
        <f>SUM(C32:C56)</f>
        <v>595</v>
      </c>
      <c r="D57" s="12"/>
      <c r="E57" s="422"/>
      <c r="F57" s="422"/>
      <c r="G57" s="422"/>
      <c r="H57" s="422"/>
      <c r="I57" s="12"/>
      <c r="J57" s="422"/>
      <c r="K57" s="364"/>
      <c r="O57" s="365"/>
    </row>
  </sheetData>
  <conditionalFormatting sqref="C32:C56">
    <cfRule type="notContainsBlanks" dxfId="0" priority="1">
      <formula>LEN(TRIM(C32))&gt;0</formula>
    </cfRule>
  </conditionalFormatting>
  <conditionalFormatting sqref="T3:T14">
    <cfRule type="containsText" dxfId="1" priority="2" operator="containsText" text="$0">
      <formula>NOT(ISERROR(SEARCH(("$0"),(T3))))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2" width="7.0"/>
    <col customWidth="1" min="3" max="3" width="10.88"/>
    <col customWidth="1" min="4" max="4" width="7.75"/>
    <col customWidth="1" min="5" max="5" width="9.25"/>
    <col customWidth="1" min="6" max="6" width="6.0"/>
    <col customWidth="1" min="7" max="7" width="7.38"/>
    <col customWidth="1" min="8" max="8" width="8.63"/>
    <col customWidth="1" min="9" max="9" width="7.0"/>
    <col customWidth="1" min="10" max="10" width="5.13"/>
    <col customWidth="1" min="11" max="11" width="17.88"/>
    <col customWidth="1" min="12" max="17" width="7.0"/>
    <col customWidth="1" min="18" max="26" width="11.0"/>
  </cols>
  <sheetData>
    <row r="1" ht="12.75" customHeight="1">
      <c r="A1" s="445"/>
      <c r="B1" s="445"/>
      <c r="C1" s="446" t="s">
        <v>202</v>
      </c>
      <c r="D1" s="445"/>
      <c r="E1" s="445"/>
      <c r="F1" s="445"/>
      <c r="G1" s="445"/>
      <c r="H1" s="445"/>
      <c r="I1" s="445"/>
      <c r="J1" s="447"/>
      <c r="K1" s="364"/>
      <c r="O1" s="365"/>
    </row>
    <row r="2" ht="12.75" customHeight="1">
      <c r="A2" s="448" t="s">
        <v>0</v>
      </c>
      <c r="B2" s="449" t="s">
        <v>108</v>
      </c>
      <c r="C2" s="449" t="s">
        <v>108</v>
      </c>
      <c r="D2" s="449" t="s">
        <v>203</v>
      </c>
      <c r="E2" s="449" t="s">
        <v>204</v>
      </c>
      <c r="F2" s="450" t="s">
        <v>205</v>
      </c>
      <c r="G2" s="451" t="s">
        <v>110</v>
      </c>
      <c r="H2" s="451" t="s">
        <v>111</v>
      </c>
      <c r="I2" s="451" t="s">
        <v>113</v>
      </c>
      <c r="J2" s="447"/>
      <c r="K2" s="364"/>
      <c r="P2" s="365"/>
      <c r="R2" s="370" t="s">
        <v>67</v>
      </c>
      <c r="S2" s="371" t="s">
        <v>114</v>
      </c>
      <c r="T2" s="372" t="s">
        <v>115</v>
      </c>
    </row>
    <row r="3" ht="12.75" customHeight="1">
      <c r="A3" s="452" t="s">
        <v>43</v>
      </c>
      <c r="B3" s="453">
        <v>0.0</v>
      </c>
      <c r="C3" s="454">
        <f t="shared" ref="C3:C14" si="1">10*B3</f>
        <v>0</v>
      </c>
      <c r="D3" s="455">
        <v>0.0</v>
      </c>
      <c r="E3" s="455">
        <v>0.0</v>
      </c>
      <c r="F3" s="455">
        <v>0.0</v>
      </c>
      <c r="G3" s="456">
        <f t="shared" ref="G3:G14" si="2">SUM(C3:F3)</f>
        <v>0</v>
      </c>
      <c r="H3" s="457">
        <v>54.0</v>
      </c>
      <c r="I3" s="456">
        <f t="shared" ref="I3:I14" si="3">G3-H3</f>
        <v>-54</v>
      </c>
      <c r="J3" s="447"/>
      <c r="K3" s="364"/>
      <c r="M3" s="379"/>
      <c r="P3" s="365"/>
      <c r="R3" s="380" t="s">
        <v>43</v>
      </c>
      <c r="S3" s="381">
        <v>54.0</v>
      </c>
      <c r="T3" s="382">
        <f t="shared" ref="T3:T14" si="4">S3-54</f>
        <v>0</v>
      </c>
      <c r="U3" s="11" t="s">
        <v>229</v>
      </c>
    </row>
    <row r="4" ht="12.75" customHeight="1">
      <c r="A4" s="458" t="s">
        <v>38</v>
      </c>
      <c r="B4" s="459">
        <v>2.0</v>
      </c>
      <c r="C4" s="460">
        <f t="shared" si="1"/>
        <v>20</v>
      </c>
      <c r="D4" s="455">
        <v>25.0</v>
      </c>
      <c r="E4" s="455">
        <v>0.0</v>
      </c>
      <c r="F4" s="461">
        <v>0.0</v>
      </c>
      <c r="G4" s="462">
        <f t="shared" si="2"/>
        <v>45</v>
      </c>
      <c r="H4" s="463">
        <v>54.0</v>
      </c>
      <c r="I4" s="462">
        <f t="shared" si="3"/>
        <v>-9</v>
      </c>
      <c r="J4" s="447"/>
      <c r="K4" s="364"/>
      <c r="L4" s="389"/>
      <c r="P4" s="365"/>
      <c r="R4" s="380" t="s">
        <v>38</v>
      </c>
      <c r="S4" s="381">
        <v>54.0</v>
      </c>
      <c r="T4" s="382">
        <f t="shared" si="4"/>
        <v>0</v>
      </c>
      <c r="U4" s="11" t="s">
        <v>229</v>
      </c>
    </row>
    <row r="5" ht="12.75" customHeight="1">
      <c r="A5" s="458" t="s">
        <v>31</v>
      </c>
      <c r="B5" s="459">
        <v>2.0</v>
      </c>
      <c r="C5" s="460">
        <f t="shared" si="1"/>
        <v>20</v>
      </c>
      <c r="D5" s="455">
        <v>25.0</v>
      </c>
      <c r="E5" s="455">
        <v>75.0</v>
      </c>
      <c r="F5" s="461">
        <v>0.0</v>
      </c>
      <c r="G5" s="462">
        <f t="shared" si="2"/>
        <v>120</v>
      </c>
      <c r="H5" s="463">
        <v>54.0</v>
      </c>
      <c r="I5" s="462">
        <f t="shared" si="3"/>
        <v>66</v>
      </c>
      <c r="J5" s="447"/>
      <c r="K5" s="364"/>
      <c r="P5" s="365"/>
      <c r="R5" s="380" t="s">
        <v>31</v>
      </c>
      <c r="S5" s="381">
        <v>54.0</v>
      </c>
      <c r="T5" s="390">
        <f t="shared" si="4"/>
        <v>0</v>
      </c>
      <c r="U5" s="11" t="s">
        <v>230</v>
      </c>
    </row>
    <row r="6" ht="12.75" customHeight="1">
      <c r="A6" s="458" t="s">
        <v>30</v>
      </c>
      <c r="B6" s="459">
        <v>2.0</v>
      </c>
      <c r="C6" s="460">
        <f t="shared" si="1"/>
        <v>20</v>
      </c>
      <c r="D6" s="455">
        <v>25.0</v>
      </c>
      <c r="E6" s="455">
        <v>0.0</v>
      </c>
      <c r="F6" s="461">
        <v>0.0</v>
      </c>
      <c r="G6" s="462">
        <f t="shared" si="2"/>
        <v>45</v>
      </c>
      <c r="H6" s="463">
        <v>54.0</v>
      </c>
      <c r="I6" s="462">
        <f t="shared" si="3"/>
        <v>-9</v>
      </c>
      <c r="J6" s="447"/>
      <c r="K6" s="364"/>
      <c r="P6" s="365"/>
      <c r="R6" s="380" t="s">
        <v>30</v>
      </c>
      <c r="S6" s="381">
        <v>54.0</v>
      </c>
      <c r="T6" s="382">
        <f t="shared" si="4"/>
        <v>0</v>
      </c>
      <c r="U6" s="11" t="s">
        <v>229</v>
      </c>
    </row>
    <row r="7" ht="12.75" customHeight="1">
      <c r="A7" s="458" t="s">
        <v>42</v>
      </c>
      <c r="B7" s="459">
        <v>0.0</v>
      </c>
      <c r="C7" s="460">
        <f t="shared" si="1"/>
        <v>0</v>
      </c>
      <c r="D7" s="455">
        <v>0.0</v>
      </c>
      <c r="E7" s="455">
        <v>0.0</v>
      </c>
      <c r="F7" s="455">
        <v>0.0</v>
      </c>
      <c r="G7" s="462">
        <f t="shared" si="2"/>
        <v>0</v>
      </c>
      <c r="H7" s="463">
        <v>54.0</v>
      </c>
      <c r="I7" s="462">
        <f t="shared" si="3"/>
        <v>-54</v>
      </c>
      <c r="J7" s="447"/>
      <c r="K7" s="364"/>
      <c r="P7" s="365"/>
      <c r="R7" s="380" t="s">
        <v>42</v>
      </c>
      <c r="S7" s="381">
        <v>54.0</v>
      </c>
      <c r="T7" s="382">
        <f t="shared" si="4"/>
        <v>0</v>
      </c>
      <c r="U7" s="11" t="s">
        <v>231</v>
      </c>
    </row>
    <row r="8" ht="12.75" customHeight="1">
      <c r="A8" s="458" t="s">
        <v>34</v>
      </c>
      <c r="B8" s="459">
        <v>1.0</v>
      </c>
      <c r="C8" s="460">
        <f t="shared" si="1"/>
        <v>10</v>
      </c>
      <c r="D8" s="455">
        <v>0.0</v>
      </c>
      <c r="E8" s="455">
        <v>0.0</v>
      </c>
      <c r="F8" s="455">
        <v>0.0</v>
      </c>
      <c r="G8" s="462">
        <f t="shared" si="2"/>
        <v>10</v>
      </c>
      <c r="H8" s="463">
        <v>54.0</v>
      </c>
      <c r="I8" s="462">
        <f t="shared" si="3"/>
        <v>-44</v>
      </c>
      <c r="J8" s="447"/>
      <c r="K8" s="364"/>
      <c r="P8" s="365"/>
      <c r="R8" s="380" t="s">
        <v>34</v>
      </c>
      <c r="S8" s="381">
        <v>54.0</v>
      </c>
      <c r="T8" s="382">
        <f t="shared" si="4"/>
        <v>0</v>
      </c>
      <c r="U8" s="11" t="s">
        <v>229</v>
      </c>
    </row>
    <row r="9" ht="12.75" customHeight="1">
      <c r="A9" s="458" t="s">
        <v>39</v>
      </c>
      <c r="B9" s="459">
        <v>1.0</v>
      </c>
      <c r="C9" s="460">
        <f t="shared" si="1"/>
        <v>10</v>
      </c>
      <c r="D9" s="455">
        <v>0.0</v>
      </c>
      <c r="E9" s="455">
        <v>0.0</v>
      </c>
      <c r="F9" s="455">
        <v>0.0</v>
      </c>
      <c r="G9" s="462">
        <f t="shared" si="2"/>
        <v>10</v>
      </c>
      <c r="H9" s="463">
        <v>54.0</v>
      </c>
      <c r="I9" s="462">
        <f t="shared" si="3"/>
        <v>-44</v>
      </c>
      <c r="J9" s="447"/>
      <c r="K9" s="364"/>
      <c r="O9" s="365"/>
      <c r="P9" s="365"/>
      <c r="R9" s="380" t="s">
        <v>39</v>
      </c>
      <c r="S9" s="381">
        <v>54.0</v>
      </c>
      <c r="T9" s="382">
        <f t="shared" si="4"/>
        <v>0</v>
      </c>
      <c r="U9" s="11" t="s">
        <v>229</v>
      </c>
    </row>
    <row r="10" ht="12.75" customHeight="1">
      <c r="A10" s="458" t="s">
        <v>36</v>
      </c>
      <c r="B10" s="459">
        <v>4.0</v>
      </c>
      <c r="C10" s="460">
        <f t="shared" si="1"/>
        <v>40</v>
      </c>
      <c r="D10" s="455">
        <v>25.0</v>
      </c>
      <c r="E10" s="455">
        <v>75.0</v>
      </c>
      <c r="F10" s="461">
        <v>135.0</v>
      </c>
      <c r="G10" s="462">
        <f t="shared" si="2"/>
        <v>275</v>
      </c>
      <c r="H10" s="463">
        <v>54.0</v>
      </c>
      <c r="I10" s="462">
        <f t="shared" si="3"/>
        <v>221</v>
      </c>
      <c r="J10" s="447"/>
      <c r="K10" s="364"/>
      <c r="O10" s="365"/>
      <c r="P10" s="365"/>
      <c r="R10" s="380" t="s">
        <v>36</v>
      </c>
      <c r="S10" s="381">
        <v>54.0</v>
      </c>
      <c r="T10" s="390">
        <f t="shared" si="4"/>
        <v>0</v>
      </c>
      <c r="U10" s="11" t="s">
        <v>230</v>
      </c>
    </row>
    <row r="11" ht="12.75" customHeight="1">
      <c r="A11" s="458" t="s">
        <v>35</v>
      </c>
      <c r="B11" s="459">
        <v>0.0</v>
      </c>
      <c r="C11" s="460">
        <f t="shared" si="1"/>
        <v>0</v>
      </c>
      <c r="D11" s="455">
        <v>0.0</v>
      </c>
      <c r="E11" s="455">
        <v>0.0</v>
      </c>
      <c r="F11" s="455">
        <v>0.0</v>
      </c>
      <c r="G11" s="462">
        <f t="shared" si="2"/>
        <v>0</v>
      </c>
      <c r="H11" s="463">
        <v>54.0</v>
      </c>
      <c r="I11" s="462">
        <f t="shared" si="3"/>
        <v>-54</v>
      </c>
      <c r="J11" s="447"/>
      <c r="K11" s="364"/>
      <c r="O11" s="365"/>
      <c r="P11" s="365"/>
      <c r="R11" s="380" t="s">
        <v>35</v>
      </c>
      <c r="S11" s="381">
        <v>54.0</v>
      </c>
      <c r="T11" s="382">
        <f t="shared" si="4"/>
        <v>0</v>
      </c>
      <c r="U11" s="11" t="s">
        <v>229</v>
      </c>
    </row>
    <row r="12" ht="12.75" customHeight="1">
      <c r="A12" s="464" t="s">
        <v>178</v>
      </c>
      <c r="B12" s="459">
        <v>3.0</v>
      </c>
      <c r="C12" s="460">
        <f t="shared" si="1"/>
        <v>30</v>
      </c>
      <c r="D12" s="455">
        <v>25.0</v>
      </c>
      <c r="E12" s="455">
        <v>0.0</v>
      </c>
      <c r="F12" s="461">
        <v>0.0</v>
      </c>
      <c r="G12" s="462">
        <f t="shared" si="2"/>
        <v>55</v>
      </c>
      <c r="H12" s="463">
        <v>54.0</v>
      </c>
      <c r="I12" s="462">
        <f t="shared" si="3"/>
        <v>1</v>
      </c>
      <c r="J12" s="447"/>
      <c r="K12" s="364"/>
      <c r="O12" s="365"/>
      <c r="P12" s="365"/>
      <c r="R12" s="380" t="s">
        <v>178</v>
      </c>
      <c r="S12" s="381">
        <v>54.0</v>
      </c>
      <c r="T12" s="382">
        <f t="shared" si="4"/>
        <v>0</v>
      </c>
      <c r="U12" s="11" t="s">
        <v>229</v>
      </c>
    </row>
    <row r="13" ht="12.75" customHeight="1">
      <c r="A13" s="458" t="s">
        <v>116</v>
      </c>
      <c r="B13" s="459">
        <v>1.0</v>
      </c>
      <c r="C13" s="460">
        <f t="shared" si="1"/>
        <v>10</v>
      </c>
      <c r="D13" s="455">
        <v>25.0</v>
      </c>
      <c r="E13" s="455">
        <v>0.0</v>
      </c>
      <c r="F13" s="461">
        <v>0.0</v>
      </c>
      <c r="G13" s="462">
        <f t="shared" si="2"/>
        <v>35</v>
      </c>
      <c r="H13" s="463">
        <v>54.0</v>
      </c>
      <c r="I13" s="462">
        <f t="shared" si="3"/>
        <v>-19</v>
      </c>
      <c r="J13" s="447"/>
      <c r="K13" s="364"/>
      <c r="O13" s="365"/>
      <c r="P13" s="365"/>
      <c r="R13" s="380" t="s">
        <v>116</v>
      </c>
      <c r="S13" s="381">
        <v>54.0</v>
      </c>
      <c r="T13" s="382">
        <f t="shared" si="4"/>
        <v>0</v>
      </c>
      <c r="U13" s="11" t="s">
        <v>232</v>
      </c>
    </row>
    <row r="14" ht="12.75" customHeight="1">
      <c r="A14" s="465" t="s">
        <v>37</v>
      </c>
      <c r="B14" s="466">
        <v>0.0</v>
      </c>
      <c r="C14" s="467">
        <f t="shared" si="1"/>
        <v>0</v>
      </c>
      <c r="D14" s="468">
        <v>0.0</v>
      </c>
      <c r="E14" s="455">
        <v>0.0</v>
      </c>
      <c r="F14" s="455">
        <v>0.0</v>
      </c>
      <c r="G14" s="469">
        <f t="shared" si="2"/>
        <v>0</v>
      </c>
      <c r="H14" s="470">
        <v>54.0</v>
      </c>
      <c r="I14" s="469">
        <f t="shared" si="3"/>
        <v>-54</v>
      </c>
      <c r="J14" s="447"/>
      <c r="K14" s="364"/>
      <c r="O14" s="365"/>
      <c r="R14" s="398" t="s">
        <v>37</v>
      </c>
      <c r="S14" s="399">
        <v>54.0</v>
      </c>
      <c r="T14" s="400">
        <f t="shared" si="4"/>
        <v>0</v>
      </c>
      <c r="U14" s="11" t="s">
        <v>229</v>
      </c>
    </row>
    <row r="15" ht="12.75" customHeight="1">
      <c r="A15" s="445"/>
      <c r="B15" s="445"/>
      <c r="C15" s="446" t="s">
        <v>208</v>
      </c>
      <c r="D15" s="445"/>
      <c r="E15" s="445"/>
      <c r="F15" s="445"/>
      <c r="G15" s="445"/>
      <c r="H15" s="445"/>
      <c r="I15" s="445"/>
      <c r="J15" s="447"/>
      <c r="K15" s="364"/>
      <c r="O15" s="365"/>
      <c r="R15" s="401" t="s">
        <v>66</v>
      </c>
      <c r="S15" s="402">
        <f t="shared" ref="S15:T15" si="5">SUM(S3:S14)</f>
        <v>648</v>
      </c>
      <c r="T15" s="403">
        <f t="shared" si="5"/>
        <v>0</v>
      </c>
    </row>
    <row r="16" ht="12.75" customHeight="1">
      <c r="A16" s="448" t="s">
        <v>0</v>
      </c>
      <c r="B16" s="449" t="s">
        <v>108</v>
      </c>
      <c r="C16" s="449" t="s">
        <v>108</v>
      </c>
      <c r="D16" s="449" t="s">
        <v>203</v>
      </c>
      <c r="E16" s="449" t="s">
        <v>204</v>
      </c>
      <c r="F16" s="450" t="s">
        <v>205</v>
      </c>
      <c r="G16" s="451" t="s">
        <v>110</v>
      </c>
      <c r="H16" s="451" t="s">
        <v>111</v>
      </c>
      <c r="I16" s="451" t="s">
        <v>113</v>
      </c>
      <c r="J16" s="447"/>
      <c r="K16" s="364"/>
      <c r="O16" s="365"/>
    </row>
    <row r="17" ht="12.75" customHeight="1">
      <c r="A17" s="471" t="s">
        <v>43</v>
      </c>
      <c r="B17" s="472">
        <v>2.0</v>
      </c>
      <c r="C17" s="473">
        <f t="shared" ref="C17:C28" si="6">B17*10</f>
        <v>20</v>
      </c>
      <c r="D17" s="473">
        <v>25.0</v>
      </c>
      <c r="E17" s="473">
        <v>75.0</v>
      </c>
      <c r="F17" s="474">
        <v>135.0</v>
      </c>
      <c r="G17" s="475">
        <f t="shared" ref="G17:G28" si="7">SUM(C17:F17)</f>
        <v>255</v>
      </c>
      <c r="H17" s="475">
        <v>50.0</v>
      </c>
      <c r="I17" s="475">
        <f t="shared" ref="I17:I28" si="8">G17-H17</f>
        <v>205</v>
      </c>
      <c r="J17" s="447"/>
      <c r="K17" s="364"/>
      <c r="O17" s="365"/>
    </row>
    <row r="18" ht="12.75" customHeight="1">
      <c r="A18" s="476" t="s">
        <v>38</v>
      </c>
      <c r="B18" s="477">
        <v>0.0</v>
      </c>
      <c r="C18" s="478">
        <f t="shared" si="6"/>
        <v>0</v>
      </c>
      <c r="D18" s="478">
        <v>0.0</v>
      </c>
      <c r="E18" s="478">
        <v>0.0</v>
      </c>
      <c r="F18" s="479">
        <v>0.0</v>
      </c>
      <c r="G18" s="480">
        <f t="shared" si="7"/>
        <v>0</v>
      </c>
      <c r="H18" s="480">
        <v>50.0</v>
      </c>
      <c r="I18" s="480">
        <f t="shared" si="8"/>
        <v>-50</v>
      </c>
      <c r="J18" s="447"/>
      <c r="K18" s="364"/>
      <c r="O18" s="365"/>
    </row>
    <row r="19" ht="12.75" customHeight="1">
      <c r="A19" s="476" t="s">
        <v>31</v>
      </c>
      <c r="B19" s="477">
        <v>1.0</v>
      </c>
      <c r="C19" s="481">
        <f t="shared" si="6"/>
        <v>10</v>
      </c>
      <c r="D19" s="478">
        <v>0.0</v>
      </c>
      <c r="E19" s="478">
        <v>0.0</v>
      </c>
      <c r="F19" s="479">
        <v>0.0</v>
      </c>
      <c r="G19" s="480">
        <f t="shared" si="7"/>
        <v>10</v>
      </c>
      <c r="H19" s="480">
        <v>50.0</v>
      </c>
      <c r="I19" s="480">
        <f t="shared" si="8"/>
        <v>-40</v>
      </c>
      <c r="J19" s="447"/>
      <c r="K19" s="364"/>
    </row>
    <row r="20" ht="12.75" customHeight="1">
      <c r="A20" s="476" t="s">
        <v>30</v>
      </c>
      <c r="B20" s="477">
        <v>1.0</v>
      </c>
      <c r="C20" s="478">
        <f t="shared" si="6"/>
        <v>10</v>
      </c>
      <c r="D20" s="478">
        <v>0.0</v>
      </c>
      <c r="E20" s="478">
        <v>0.0</v>
      </c>
      <c r="F20" s="479">
        <v>0.0</v>
      </c>
      <c r="G20" s="480">
        <f t="shared" si="7"/>
        <v>10</v>
      </c>
      <c r="H20" s="480">
        <v>50.0</v>
      </c>
      <c r="I20" s="480">
        <f t="shared" si="8"/>
        <v>-40</v>
      </c>
      <c r="J20" s="447"/>
      <c r="K20" s="364"/>
    </row>
    <row r="21" ht="12.75" customHeight="1">
      <c r="A21" s="476" t="s">
        <v>42</v>
      </c>
      <c r="B21" s="477">
        <v>2.0</v>
      </c>
      <c r="C21" s="481">
        <f t="shared" si="6"/>
        <v>20</v>
      </c>
      <c r="D21" s="478">
        <v>25.0</v>
      </c>
      <c r="E21" s="478">
        <v>0.0</v>
      </c>
      <c r="F21" s="479">
        <v>0.0</v>
      </c>
      <c r="G21" s="480">
        <f t="shared" si="7"/>
        <v>45</v>
      </c>
      <c r="H21" s="480">
        <v>50.0</v>
      </c>
      <c r="I21" s="480">
        <f t="shared" si="8"/>
        <v>-5</v>
      </c>
      <c r="J21" s="447"/>
      <c r="K21" s="364"/>
    </row>
    <row r="22" ht="12.75" customHeight="1">
      <c r="A22" s="476" t="s">
        <v>34</v>
      </c>
      <c r="B22" s="477">
        <v>2.0</v>
      </c>
      <c r="C22" s="478">
        <f t="shared" si="6"/>
        <v>20</v>
      </c>
      <c r="D22" s="478">
        <v>25.0</v>
      </c>
      <c r="E22" s="478">
        <v>0.0</v>
      </c>
      <c r="F22" s="479">
        <v>0.0</v>
      </c>
      <c r="G22" s="480">
        <f t="shared" si="7"/>
        <v>45</v>
      </c>
      <c r="H22" s="480">
        <v>50.0</v>
      </c>
      <c r="I22" s="480">
        <f t="shared" si="8"/>
        <v>-5</v>
      </c>
      <c r="J22" s="447"/>
      <c r="K22" s="364"/>
      <c r="O22" s="365"/>
    </row>
    <row r="23" ht="12.75" customHeight="1">
      <c r="A23" s="476" t="s">
        <v>39</v>
      </c>
      <c r="B23" s="477">
        <v>0.0</v>
      </c>
      <c r="C23" s="481">
        <f t="shared" si="6"/>
        <v>0</v>
      </c>
      <c r="D23" s="478">
        <v>0.0</v>
      </c>
      <c r="E23" s="478">
        <v>0.0</v>
      </c>
      <c r="F23" s="479">
        <v>0.0</v>
      </c>
      <c r="G23" s="480">
        <f t="shared" si="7"/>
        <v>0</v>
      </c>
      <c r="H23" s="480">
        <v>50.0</v>
      </c>
      <c r="I23" s="480">
        <f t="shared" si="8"/>
        <v>-50</v>
      </c>
      <c r="J23" s="447"/>
      <c r="K23" s="364"/>
      <c r="O23" s="365"/>
    </row>
    <row r="24" ht="12.75" customHeight="1">
      <c r="A24" s="476" t="s">
        <v>36</v>
      </c>
      <c r="B24" s="477">
        <v>0.0</v>
      </c>
      <c r="C24" s="481">
        <f t="shared" si="6"/>
        <v>0</v>
      </c>
      <c r="D24" s="478">
        <v>0.0</v>
      </c>
      <c r="E24" s="478">
        <v>0.0</v>
      </c>
      <c r="F24" s="479">
        <v>0.0</v>
      </c>
      <c r="G24" s="480">
        <f t="shared" si="7"/>
        <v>0</v>
      </c>
      <c r="H24" s="480">
        <v>50.0</v>
      </c>
      <c r="I24" s="480">
        <f t="shared" si="8"/>
        <v>-50</v>
      </c>
      <c r="J24" s="447"/>
      <c r="K24" s="364"/>
      <c r="O24" s="365"/>
    </row>
    <row r="25" ht="12.75" customHeight="1">
      <c r="A25" s="476" t="s">
        <v>35</v>
      </c>
      <c r="B25" s="477">
        <v>2.0</v>
      </c>
      <c r="C25" s="481">
        <f t="shared" si="6"/>
        <v>20</v>
      </c>
      <c r="D25" s="478">
        <v>0.0</v>
      </c>
      <c r="E25" s="478">
        <v>0.0</v>
      </c>
      <c r="F25" s="479">
        <v>0.0</v>
      </c>
      <c r="G25" s="480">
        <f t="shared" si="7"/>
        <v>20</v>
      </c>
      <c r="H25" s="480">
        <v>50.0</v>
      </c>
      <c r="I25" s="480">
        <f t="shared" si="8"/>
        <v>-30</v>
      </c>
      <c r="J25" s="447"/>
      <c r="K25" s="364"/>
      <c r="O25" s="365"/>
    </row>
    <row r="26" ht="12.75" customHeight="1">
      <c r="A26" s="482" t="s">
        <v>178</v>
      </c>
      <c r="B26" s="477">
        <v>3.0</v>
      </c>
      <c r="C26" s="478">
        <f t="shared" si="6"/>
        <v>30</v>
      </c>
      <c r="D26" s="478">
        <v>25.0</v>
      </c>
      <c r="E26" s="478">
        <v>0.0</v>
      </c>
      <c r="F26" s="479">
        <v>0.0</v>
      </c>
      <c r="G26" s="480">
        <f t="shared" si="7"/>
        <v>55</v>
      </c>
      <c r="H26" s="480">
        <v>50.0</v>
      </c>
      <c r="I26" s="480">
        <f t="shared" si="8"/>
        <v>5</v>
      </c>
      <c r="J26" s="447"/>
      <c r="K26" s="364"/>
      <c r="O26" s="365"/>
    </row>
    <row r="27" ht="12.75" customHeight="1">
      <c r="A27" s="476" t="s">
        <v>116</v>
      </c>
      <c r="B27" s="477">
        <v>1.0</v>
      </c>
      <c r="C27" s="481">
        <f t="shared" si="6"/>
        <v>10</v>
      </c>
      <c r="D27" s="478">
        <v>25.0</v>
      </c>
      <c r="E27" s="478">
        <v>0.0</v>
      </c>
      <c r="F27" s="479">
        <v>0.0</v>
      </c>
      <c r="G27" s="480">
        <f t="shared" si="7"/>
        <v>35</v>
      </c>
      <c r="H27" s="480">
        <v>50.0</v>
      </c>
      <c r="I27" s="480">
        <f t="shared" si="8"/>
        <v>-15</v>
      </c>
      <c r="J27" s="447"/>
      <c r="K27" s="364"/>
      <c r="O27" s="365"/>
    </row>
    <row r="28" ht="12.75" customHeight="1">
      <c r="A28" s="483" t="s">
        <v>37</v>
      </c>
      <c r="B28" s="484">
        <v>2.0</v>
      </c>
      <c r="C28" s="485">
        <f t="shared" si="6"/>
        <v>20</v>
      </c>
      <c r="D28" s="485">
        <v>25.0</v>
      </c>
      <c r="E28" s="485">
        <v>75.0</v>
      </c>
      <c r="F28" s="486">
        <v>0.0</v>
      </c>
      <c r="G28" s="487">
        <f t="shared" si="7"/>
        <v>120</v>
      </c>
      <c r="H28" s="487">
        <v>50.0</v>
      </c>
      <c r="I28" s="487">
        <f t="shared" si="8"/>
        <v>70</v>
      </c>
      <c r="J28" s="447"/>
      <c r="K28" s="364"/>
      <c r="O28" s="365"/>
    </row>
    <row r="29" ht="12.75" customHeight="1">
      <c r="A29" s="447"/>
      <c r="B29" s="447"/>
      <c r="C29" s="447"/>
      <c r="D29" s="447"/>
      <c r="E29" s="447"/>
      <c r="F29" s="447"/>
      <c r="G29" s="447"/>
      <c r="H29" s="447"/>
      <c r="I29" s="447"/>
      <c r="J29" s="447"/>
      <c r="K29" s="364"/>
      <c r="O29" s="365"/>
    </row>
    <row r="30" ht="12.75" customHeight="1">
      <c r="C30" s="389">
        <f t="shared" ref="C30:F30" si="9">SUM(C17:C28)</f>
        <v>160</v>
      </c>
      <c r="D30" s="389">
        <f t="shared" si="9"/>
        <v>150</v>
      </c>
      <c r="E30" s="389">
        <f t="shared" si="9"/>
        <v>150</v>
      </c>
      <c r="F30" s="389">
        <f t="shared" si="9"/>
        <v>135</v>
      </c>
      <c r="G30" s="389"/>
      <c r="H30" s="364"/>
      <c r="J30" s="364"/>
      <c r="K30" s="364"/>
      <c r="O30" s="365"/>
    </row>
    <row r="31" ht="12.75" customHeight="1">
      <c r="A31" s="488" t="s">
        <v>118</v>
      </c>
      <c r="B31" s="489" t="s">
        <v>0</v>
      </c>
      <c r="C31" s="489" t="s">
        <v>119</v>
      </c>
      <c r="D31" s="489" t="s">
        <v>114</v>
      </c>
      <c r="E31" s="490" t="s">
        <v>120</v>
      </c>
      <c r="F31" s="364"/>
      <c r="G31" s="364"/>
      <c r="H31" s="364"/>
      <c r="J31" s="491" t="s">
        <v>123</v>
      </c>
      <c r="K31" s="492" t="s">
        <v>124</v>
      </c>
      <c r="L31" s="424" t="s">
        <v>125</v>
      </c>
      <c r="M31" s="424" t="s">
        <v>126</v>
      </c>
      <c r="N31" s="424" t="s">
        <v>127</v>
      </c>
      <c r="O31" s="424" t="s">
        <v>128</v>
      </c>
      <c r="P31" s="424" t="s">
        <v>129</v>
      </c>
      <c r="Q31" s="493" t="s">
        <v>130</v>
      </c>
    </row>
    <row r="32" ht="12.75" customHeight="1">
      <c r="A32" s="494" t="s">
        <v>121</v>
      </c>
      <c r="B32" s="495" t="s">
        <v>31</v>
      </c>
      <c r="C32" s="496">
        <v>10.0</v>
      </c>
      <c r="D32" s="496">
        <v>10.0</v>
      </c>
      <c r="E32" s="497">
        <v>174.5</v>
      </c>
      <c r="F32" s="498" t="s">
        <v>233</v>
      </c>
      <c r="G32" s="364"/>
      <c r="H32" s="364"/>
      <c r="J32" s="499">
        <v>1.0</v>
      </c>
      <c r="K32" s="500" t="s">
        <v>234</v>
      </c>
      <c r="L32" s="501">
        <v>9.0</v>
      </c>
      <c r="M32" s="501">
        <v>4.0</v>
      </c>
      <c r="N32" s="501">
        <v>0.0</v>
      </c>
      <c r="O32" s="502">
        <v>0.0</v>
      </c>
      <c r="P32" s="501">
        <v>1852.0</v>
      </c>
      <c r="Q32" s="503">
        <v>1664.0</v>
      </c>
    </row>
    <row r="33" ht="12.75" customHeight="1">
      <c r="A33" s="504" t="s">
        <v>132</v>
      </c>
      <c r="B33" s="217" t="s">
        <v>178</v>
      </c>
      <c r="C33" s="505">
        <v>10.0</v>
      </c>
      <c r="D33" s="505">
        <v>10.0</v>
      </c>
      <c r="E33" s="506">
        <v>166.5</v>
      </c>
      <c r="F33" s="498" t="s">
        <v>229</v>
      </c>
      <c r="G33" s="364"/>
      <c r="H33" s="364"/>
      <c r="J33" s="507">
        <v>2.0</v>
      </c>
      <c r="K33" s="508" t="s">
        <v>149</v>
      </c>
      <c r="L33" s="509">
        <v>8.0</v>
      </c>
      <c r="M33" s="509">
        <v>5.0</v>
      </c>
      <c r="N33" s="509">
        <v>0.0</v>
      </c>
      <c r="O33" s="510">
        <v>1.0</v>
      </c>
      <c r="P33" s="511">
        <v>1991.3</v>
      </c>
      <c r="Q33" s="512">
        <v>1687.5</v>
      </c>
    </row>
    <row r="34" ht="12.75" customHeight="1">
      <c r="A34" s="504" t="s">
        <v>134</v>
      </c>
      <c r="B34" s="217" t="s">
        <v>36</v>
      </c>
      <c r="C34" s="505">
        <v>10.0</v>
      </c>
      <c r="D34" s="505">
        <v>10.0</v>
      </c>
      <c r="E34" s="506">
        <v>173.0</v>
      </c>
      <c r="F34" s="498" t="s">
        <v>233</v>
      </c>
      <c r="G34" s="364"/>
      <c r="H34" s="364"/>
      <c r="J34" s="507">
        <v>3.0</v>
      </c>
      <c r="K34" s="513" t="s">
        <v>235</v>
      </c>
      <c r="L34" s="509">
        <v>8.0</v>
      </c>
      <c r="M34" s="509">
        <v>5.0</v>
      </c>
      <c r="N34" s="509">
        <v>0.0</v>
      </c>
      <c r="O34" s="510">
        <v>1.0</v>
      </c>
      <c r="P34" s="511">
        <v>1761.3</v>
      </c>
      <c r="Q34" s="512">
        <v>1602.0</v>
      </c>
    </row>
    <row r="35" ht="12.75" customHeight="1">
      <c r="A35" s="504" t="s">
        <v>136</v>
      </c>
      <c r="B35" s="217" t="s">
        <v>116</v>
      </c>
      <c r="C35" s="505">
        <v>10.0</v>
      </c>
      <c r="D35" s="514">
        <v>7.0</v>
      </c>
      <c r="E35" s="506">
        <v>191.0</v>
      </c>
      <c r="F35" s="498" t="s">
        <v>236</v>
      </c>
      <c r="G35" s="364"/>
      <c r="H35" s="364"/>
      <c r="J35" s="507">
        <v>4.0</v>
      </c>
      <c r="K35" s="513" t="s">
        <v>210</v>
      </c>
      <c r="L35" s="509">
        <v>7.0</v>
      </c>
      <c r="M35" s="509">
        <v>6.0</v>
      </c>
      <c r="N35" s="509">
        <v>0.0</v>
      </c>
      <c r="O35" s="510">
        <v>2.0</v>
      </c>
      <c r="P35" s="511">
        <v>1900.0</v>
      </c>
      <c r="Q35" s="512">
        <v>1799.8</v>
      </c>
    </row>
    <row r="36" ht="12.75" customHeight="1">
      <c r="A36" s="504" t="s">
        <v>138</v>
      </c>
      <c r="B36" s="217" t="s">
        <v>39</v>
      </c>
      <c r="C36" s="505">
        <v>10.0</v>
      </c>
      <c r="D36" s="505">
        <v>10.0</v>
      </c>
      <c r="E36" s="506">
        <v>146.3</v>
      </c>
      <c r="F36" s="498" t="s">
        <v>229</v>
      </c>
      <c r="G36" s="364"/>
      <c r="H36" s="364"/>
      <c r="J36" s="515">
        <v>5.0</v>
      </c>
      <c r="K36" s="513" t="s">
        <v>209</v>
      </c>
      <c r="L36" s="509">
        <v>7.0</v>
      </c>
      <c r="M36" s="509">
        <v>6.0</v>
      </c>
      <c r="N36" s="509">
        <v>0.0</v>
      </c>
      <c r="O36" s="510">
        <v>2.0</v>
      </c>
      <c r="P36" s="511">
        <v>1736.8</v>
      </c>
      <c r="Q36" s="516">
        <v>1659.5</v>
      </c>
    </row>
    <row r="37" ht="12.75" customHeight="1">
      <c r="A37" s="504" t="s">
        <v>140</v>
      </c>
      <c r="B37" s="217" t="s">
        <v>178</v>
      </c>
      <c r="C37" s="505">
        <v>10.0</v>
      </c>
      <c r="D37" s="505">
        <v>10.0</v>
      </c>
      <c r="E37" s="506">
        <v>187.5</v>
      </c>
      <c r="F37" s="498" t="s">
        <v>229</v>
      </c>
      <c r="G37" s="364"/>
      <c r="H37" s="364"/>
      <c r="J37" s="517">
        <v>6.0</v>
      </c>
      <c r="K37" s="518" t="s">
        <v>151</v>
      </c>
      <c r="L37" s="519">
        <v>7.0</v>
      </c>
      <c r="M37" s="519">
        <v>6.0</v>
      </c>
      <c r="N37" s="519">
        <v>0.0</v>
      </c>
      <c r="O37" s="520">
        <v>2.0</v>
      </c>
      <c r="P37" s="519">
        <v>1675.3</v>
      </c>
      <c r="Q37" s="521">
        <v>1865.3</v>
      </c>
    </row>
    <row r="38" ht="12.75" customHeight="1">
      <c r="A38" s="504" t="s">
        <v>142</v>
      </c>
      <c r="B38" s="217" t="s">
        <v>178</v>
      </c>
      <c r="C38" s="505">
        <v>10.0</v>
      </c>
      <c r="D38" s="505">
        <v>10.0</v>
      </c>
      <c r="E38" s="506">
        <v>181.0</v>
      </c>
      <c r="F38" s="498" t="s">
        <v>229</v>
      </c>
      <c r="G38" s="364"/>
      <c r="H38" s="364"/>
      <c r="J38" s="522">
        <v>7.0</v>
      </c>
      <c r="K38" s="523" t="s">
        <v>143</v>
      </c>
      <c r="L38" s="524">
        <v>6.0</v>
      </c>
      <c r="M38" s="524">
        <v>7.0</v>
      </c>
      <c r="N38" s="524">
        <v>0.0</v>
      </c>
      <c r="O38" s="525">
        <v>3.0</v>
      </c>
      <c r="P38" s="524">
        <v>1698.8</v>
      </c>
      <c r="Q38" s="526">
        <v>1744.5</v>
      </c>
    </row>
    <row r="39" ht="12.75" customHeight="1">
      <c r="A39" s="504" t="s">
        <v>144</v>
      </c>
      <c r="B39" s="217" t="s">
        <v>30</v>
      </c>
      <c r="C39" s="505">
        <v>10.0</v>
      </c>
      <c r="D39" s="505">
        <v>10.0</v>
      </c>
      <c r="E39" s="506">
        <v>168.3</v>
      </c>
      <c r="F39" s="498" t="s">
        <v>229</v>
      </c>
      <c r="G39" s="364"/>
      <c r="H39" s="364"/>
      <c r="J39" s="527">
        <v>8.0</v>
      </c>
      <c r="K39" s="523" t="s">
        <v>237</v>
      </c>
      <c r="L39" s="524">
        <v>6.0</v>
      </c>
      <c r="M39" s="524">
        <v>7.0</v>
      </c>
      <c r="N39" s="528">
        <v>0.0</v>
      </c>
      <c r="O39" s="529">
        <v>3.0</v>
      </c>
      <c r="P39" s="528">
        <v>1692.8</v>
      </c>
      <c r="Q39" s="530">
        <v>1675.8</v>
      </c>
    </row>
    <row r="40" ht="12.75" customHeight="1">
      <c r="A40" s="504" t="s">
        <v>146</v>
      </c>
      <c r="B40" s="217" t="s">
        <v>38</v>
      </c>
      <c r="C40" s="505">
        <v>10.0</v>
      </c>
      <c r="D40" s="505">
        <v>10.0</v>
      </c>
      <c r="E40" s="506">
        <v>162.8</v>
      </c>
      <c r="F40" s="498" t="s">
        <v>229</v>
      </c>
      <c r="G40" s="364"/>
      <c r="H40" s="364"/>
      <c r="J40" s="522">
        <v>9.0</v>
      </c>
      <c r="K40" s="531" t="s">
        <v>217</v>
      </c>
      <c r="L40" s="524">
        <v>6.0</v>
      </c>
      <c r="M40" s="524">
        <v>7.0</v>
      </c>
      <c r="N40" s="528">
        <v>0.0</v>
      </c>
      <c r="O40" s="529">
        <v>3.0</v>
      </c>
      <c r="P40" s="524">
        <v>1593.0</v>
      </c>
      <c r="Q40" s="530">
        <v>1828.5</v>
      </c>
    </row>
    <row r="41" ht="12.75" customHeight="1">
      <c r="A41" s="504" t="s">
        <v>148</v>
      </c>
      <c r="B41" s="217" t="s">
        <v>34</v>
      </c>
      <c r="C41" s="505">
        <v>10.0</v>
      </c>
      <c r="D41" s="505">
        <v>10.0</v>
      </c>
      <c r="E41" s="506">
        <v>187.0</v>
      </c>
      <c r="F41" s="498" t="s">
        <v>229</v>
      </c>
      <c r="G41" s="364"/>
      <c r="H41" s="364"/>
      <c r="J41" s="527">
        <v>10.0</v>
      </c>
      <c r="K41" s="531" t="s">
        <v>184</v>
      </c>
      <c r="L41" s="524">
        <v>6.0</v>
      </c>
      <c r="M41" s="524">
        <v>6.0</v>
      </c>
      <c r="N41" s="528">
        <v>0.0</v>
      </c>
      <c r="O41" s="529">
        <v>3.0</v>
      </c>
      <c r="P41" s="528">
        <v>1744.8</v>
      </c>
      <c r="Q41" s="530">
        <v>1819.5</v>
      </c>
    </row>
    <row r="42" ht="12.75" customHeight="1">
      <c r="A42" s="504" t="s">
        <v>150</v>
      </c>
      <c r="B42" s="217" t="s">
        <v>36</v>
      </c>
      <c r="C42" s="505">
        <v>10.0</v>
      </c>
      <c r="D42" s="505">
        <v>10.0</v>
      </c>
      <c r="E42" s="506">
        <v>199.8</v>
      </c>
      <c r="F42" s="498" t="s">
        <v>233</v>
      </c>
      <c r="G42" s="364"/>
      <c r="H42" s="364"/>
      <c r="J42" s="532">
        <v>11.0</v>
      </c>
      <c r="K42" s="531" t="s">
        <v>187</v>
      </c>
      <c r="L42" s="524">
        <v>5.0</v>
      </c>
      <c r="M42" s="524">
        <v>8.0</v>
      </c>
      <c r="N42" s="528">
        <v>0.0</v>
      </c>
      <c r="O42" s="529">
        <v>4.0</v>
      </c>
      <c r="P42" s="528">
        <v>1596.5</v>
      </c>
      <c r="Q42" s="530">
        <v>1758.0</v>
      </c>
    </row>
    <row r="43" ht="12.75" customHeight="1">
      <c r="A43" s="504" t="s">
        <v>152</v>
      </c>
      <c r="B43" s="217" t="s">
        <v>36</v>
      </c>
      <c r="C43" s="505">
        <v>10.0</v>
      </c>
      <c r="D43" s="505">
        <v>10.0</v>
      </c>
      <c r="E43" s="506">
        <v>207.8</v>
      </c>
      <c r="F43" s="498" t="s">
        <v>233</v>
      </c>
      <c r="G43" s="364"/>
      <c r="H43" s="364"/>
      <c r="J43" s="533">
        <v>12.0</v>
      </c>
      <c r="K43" s="534" t="s">
        <v>238</v>
      </c>
      <c r="L43" s="535">
        <v>4.0</v>
      </c>
      <c r="M43" s="535">
        <v>9.0</v>
      </c>
      <c r="N43" s="535">
        <v>0.0</v>
      </c>
      <c r="O43" s="536">
        <v>5.0</v>
      </c>
      <c r="P43" s="535">
        <v>1532.0</v>
      </c>
      <c r="Q43" s="537">
        <v>1670.0</v>
      </c>
    </row>
    <row r="44" ht="12.75" customHeight="1">
      <c r="A44" s="538" t="s">
        <v>154</v>
      </c>
      <c r="B44" s="539" t="s">
        <v>30</v>
      </c>
      <c r="C44" s="540">
        <v>10.0</v>
      </c>
      <c r="D44" s="540">
        <v>10.0</v>
      </c>
      <c r="E44" s="541">
        <v>165.8</v>
      </c>
      <c r="F44" s="498" t="s">
        <v>229</v>
      </c>
      <c r="G44" s="364"/>
      <c r="H44" s="364"/>
      <c r="J44" s="364"/>
      <c r="K44" s="364"/>
      <c r="O44" s="365"/>
    </row>
    <row r="45" ht="12.75" customHeight="1">
      <c r="A45" s="542" t="s">
        <v>156</v>
      </c>
      <c r="B45" s="543" t="s">
        <v>38</v>
      </c>
      <c r="C45" s="544">
        <v>10.0</v>
      </c>
      <c r="D45" s="544">
        <v>10.0</v>
      </c>
      <c r="E45" s="545">
        <v>130.8</v>
      </c>
      <c r="F45" s="498" t="s">
        <v>229</v>
      </c>
      <c r="G45" s="364"/>
      <c r="H45" s="364"/>
      <c r="J45" s="364"/>
      <c r="K45" s="364"/>
      <c r="O45" s="365"/>
    </row>
    <row r="46" ht="12.75" customHeight="1">
      <c r="A46" s="504" t="s">
        <v>219</v>
      </c>
      <c r="B46" s="217" t="s">
        <v>31</v>
      </c>
      <c r="C46" s="505">
        <v>10.0</v>
      </c>
      <c r="D46" s="505">
        <v>10.0</v>
      </c>
      <c r="E46" s="506">
        <v>110.5</v>
      </c>
      <c r="F46" s="498" t="s">
        <v>233</v>
      </c>
      <c r="G46" s="364"/>
      <c r="H46" s="364"/>
      <c r="J46" s="364"/>
      <c r="K46" s="364"/>
      <c r="O46" s="365"/>
    </row>
    <row r="47" ht="12.75" customHeight="1">
      <c r="A47" s="504" t="s">
        <v>220</v>
      </c>
      <c r="B47" s="217" t="s">
        <v>36</v>
      </c>
      <c r="C47" s="505">
        <v>10.0</v>
      </c>
      <c r="D47" s="505">
        <v>10.0</v>
      </c>
      <c r="E47" s="506">
        <v>168.5</v>
      </c>
      <c r="F47" s="498" t="s">
        <v>239</v>
      </c>
      <c r="G47" s="364"/>
      <c r="H47" s="546"/>
      <c r="J47" s="364"/>
      <c r="K47" s="364"/>
      <c r="O47" s="365"/>
    </row>
    <row r="48" ht="12.75" customHeight="1">
      <c r="A48" s="504" t="s">
        <v>221</v>
      </c>
      <c r="B48" s="217" t="s">
        <v>31</v>
      </c>
      <c r="C48" s="505">
        <v>25.0</v>
      </c>
      <c r="D48" s="505">
        <v>25.0</v>
      </c>
      <c r="E48" s="547"/>
      <c r="F48" s="498" t="s">
        <v>233</v>
      </c>
      <c r="G48" s="364"/>
      <c r="H48" s="546"/>
      <c r="I48" s="546"/>
      <c r="J48" s="364"/>
      <c r="K48" s="364"/>
      <c r="O48" s="365"/>
    </row>
    <row r="49" ht="12.75" customHeight="1">
      <c r="A49" s="504" t="s">
        <v>222</v>
      </c>
      <c r="B49" s="217" t="s">
        <v>36</v>
      </c>
      <c r="C49" s="505">
        <v>25.0</v>
      </c>
      <c r="D49" s="505">
        <v>25.0</v>
      </c>
      <c r="E49" s="547"/>
      <c r="F49" s="498" t="s">
        <v>240</v>
      </c>
      <c r="G49" s="364"/>
      <c r="H49" s="364"/>
      <c r="I49" s="546"/>
      <c r="J49" s="364"/>
      <c r="K49" s="364"/>
      <c r="O49" s="365"/>
    </row>
    <row r="50" ht="12.75" customHeight="1">
      <c r="A50" s="504" t="s">
        <v>223</v>
      </c>
      <c r="B50" s="217" t="s">
        <v>30</v>
      </c>
      <c r="C50" s="505">
        <v>25.0</v>
      </c>
      <c r="D50" s="505">
        <v>25.0</v>
      </c>
      <c r="E50" s="547"/>
      <c r="F50" s="498" t="s">
        <v>229</v>
      </c>
      <c r="G50" s="364"/>
      <c r="H50" s="364"/>
      <c r="I50" s="546"/>
      <c r="J50" s="364"/>
      <c r="K50" s="364"/>
      <c r="O50" s="365"/>
    </row>
    <row r="51" ht="12.75" customHeight="1">
      <c r="A51" s="504" t="s">
        <v>224</v>
      </c>
      <c r="B51" s="217" t="s">
        <v>178</v>
      </c>
      <c r="C51" s="505">
        <v>25.0</v>
      </c>
      <c r="D51" s="505">
        <v>25.0</v>
      </c>
      <c r="E51" s="547"/>
      <c r="F51" s="498" t="s">
        <v>229</v>
      </c>
      <c r="G51" s="364"/>
      <c r="H51" s="546"/>
      <c r="J51" s="364"/>
      <c r="K51" s="364"/>
      <c r="O51" s="365"/>
    </row>
    <row r="52" ht="12.75" customHeight="1">
      <c r="A52" s="504" t="s">
        <v>225</v>
      </c>
      <c r="B52" s="217" t="s">
        <v>38</v>
      </c>
      <c r="C52" s="505">
        <v>25.0</v>
      </c>
      <c r="D52" s="505">
        <v>25.0</v>
      </c>
      <c r="E52" s="547"/>
      <c r="F52" s="498" t="s">
        <v>229</v>
      </c>
      <c r="G52" s="364"/>
      <c r="H52" s="364"/>
      <c r="J52" s="364"/>
      <c r="K52" s="364"/>
      <c r="O52" s="365"/>
    </row>
    <row r="53" ht="12.75" customHeight="1">
      <c r="A53" s="504" t="s">
        <v>226</v>
      </c>
      <c r="B53" s="217" t="s">
        <v>116</v>
      </c>
      <c r="C53" s="505">
        <v>25.0</v>
      </c>
      <c r="D53" s="505">
        <v>7.0</v>
      </c>
      <c r="E53" s="547"/>
      <c r="F53" s="498" t="s">
        <v>241</v>
      </c>
      <c r="G53" s="364"/>
      <c r="H53" s="364"/>
      <c r="J53" s="364"/>
      <c r="K53" s="364"/>
      <c r="O53" s="365"/>
    </row>
    <row r="54" ht="12.75" customHeight="1">
      <c r="A54" s="504" t="s">
        <v>227</v>
      </c>
      <c r="B54" s="217" t="s">
        <v>31</v>
      </c>
      <c r="C54" s="505">
        <v>75.0</v>
      </c>
      <c r="D54" s="505">
        <v>9.0</v>
      </c>
      <c r="E54" s="547"/>
      <c r="F54" s="498" t="s">
        <v>242</v>
      </c>
      <c r="G54" s="364"/>
      <c r="H54" s="364"/>
      <c r="J54" s="364"/>
      <c r="K54" s="364"/>
      <c r="O54" s="365"/>
    </row>
    <row r="55" ht="12.75" customHeight="1">
      <c r="A55" s="504" t="s">
        <v>228</v>
      </c>
      <c r="B55" s="217" t="s">
        <v>36</v>
      </c>
      <c r="C55" s="505">
        <v>75.0</v>
      </c>
      <c r="D55" s="505">
        <v>75.0</v>
      </c>
      <c r="E55" s="547"/>
      <c r="F55" s="498" t="s">
        <v>239</v>
      </c>
      <c r="G55" s="364"/>
      <c r="H55" s="364"/>
      <c r="J55" s="364"/>
      <c r="K55" s="364"/>
      <c r="O55" s="365"/>
    </row>
    <row r="56" ht="12.75" customHeight="1">
      <c r="A56" s="538" t="s">
        <v>79</v>
      </c>
      <c r="B56" s="539" t="s">
        <v>36</v>
      </c>
      <c r="C56" s="540">
        <v>135.0</v>
      </c>
      <c r="D56" s="540">
        <v>135.0</v>
      </c>
      <c r="E56" s="548"/>
      <c r="F56" s="498" t="s">
        <v>243</v>
      </c>
      <c r="G56" s="364"/>
      <c r="H56" s="364"/>
      <c r="J56" s="364"/>
      <c r="K56" s="364"/>
      <c r="O56" s="365"/>
    </row>
    <row r="57" ht="12.75" customHeight="1">
      <c r="C57" s="549">
        <f>SUM(C32:C56)</f>
        <v>595</v>
      </c>
      <c r="E57" s="364"/>
      <c r="F57" s="364"/>
      <c r="G57" s="364"/>
      <c r="H57" s="364"/>
      <c r="J57" s="364"/>
      <c r="K57" s="364"/>
      <c r="O57" s="365"/>
    </row>
    <row r="58" ht="12.75" customHeight="1"/>
    <row r="59" ht="12.75" customHeight="1"/>
    <row r="60" ht="12.75" customHeight="1"/>
    <row r="61" ht="12.75" customHeight="1"/>
    <row r="62" ht="12.75" customHeight="1">
      <c r="A62" s="11" t="s">
        <v>36</v>
      </c>
      <c r="B62" s="550">
        <f>sum(C34,C42,C43,C47,C49,C55,C56)-54</f>
        <v>221</v>
      </c>
      <c r="C62" s="11" t="s">
        <v>244</v>
      </c>
    </row>
    <row r="63" ht="12.75" customHeight="1">
      <c r="A63" s="11" t="s">
        <v>31</v>
      </c>
      <c r="B63" s="551">
        <f>sum(C32,C46,C48,C54)-54</f>
        <v>66</v>
      </c>
    </row>
    <row r="64" ht="12.75" customHeight="1">
      <c r="A64" s="11" t="s">
        <v>116</v>
      </c>
      <c r="B64" s="551">
        <v>21.0</v>
      </c>
      <c r="C64" s="11" t="s">
        <v>245</v>
      </c>
    </row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onditionalFormatting sqref="C32:C56">
    <cfRule type="notContainsBlanks" dxfId="0" priority="1">
      <formula>LEN(TRIM(C32))&gt;0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2" width="7.0"/>
    <col customWidth="1" min="3" max="3" width="10.88"/>
    <col customWidth="1" min="4" max="4" width="7.75"/>
    <col customWidth="1" min="5" max="5" width="9.25"/>
    <col customWidth="1" min="6" max="6" width="6.0"/>
    <col customWidth="1" min="7" max="7" width="7.38"/>
    <col customWidth="1" min="8" max="8" width="8.63"/>
    <col customWidth="1" min="9" max="9" width="7.0"/>
    <col customWidth="1" min="10" max="10" width="5.13"/>
    <col customWidth="1" min="11" max="11" width="17.88"/>
    <col customWidth="1" min="12" max="17" width="7.0"/>
    <col customWidth="1" min="18" max="26" width="11.0"/>
  </cols>
  <sheetData>
    <row r="1" ht="12.75" customHeight="1">
      <c r="A1" s="445"/>
      <c r="B1" s="445"/>
      <c r="C1" s="446" t="s">
        <v>202</v>
      </c>
      <c r="D1" s="445"/>
      <c r="E1" s="445"/>
      <c r="F1" s="445"/>
      <c r="G1" s="445"/>
      <c r="H1" s="445"/>
      <c r="I1" s="445"/>
      <c r="J1" s="447"/>
      <c r="K1" s="364"/>
      <c r="O1" s="365"/>
    </row>
    <row r="2" ht="12.75" customHeight="1">
      <c r="A2" s="448" t="s">
        <v>0</v>
      </c>
      <c r="B2" s="449" t="s">
        <v>108</v>
      </c>
      <c r="C2" s="449" t="s">
        <v>108</v>
      </c>
      <c r="D2" s="449" t="s">
        <v>203</v>
      </c>
      <c r="E2" s="449" t="s">
        <v>204</v>
      </c>
      <c r="F2" s="450" t="s">
        <v>205</v>
      </c>
      <c r="G2" s="451" t="s">
        <v>110</v>
      </c>
      <c r="H2" s="451" t="s">
        <v>111</v>
      </c>
      <c r="I2" s="451" t="s">
        <v>113</v>
      </c>
      <c r="J2" s="447"/>
      <c r="K2" s="364"/>
      <c r="N2" s="552" t="s">
        <v>246</v>
      </c>
      <c r="O2" s="16"/>
      <c r="P2" s="552" t="s">
        <v>229</v>
      </c>
      <c r="Q2" s="16"/>
    </row>
    <row r="3" ht="12.75" customHeight="1">
      <c r="A3" s="471" t="s">
        <v>43</v>
      </c>
      <c r="B3" s="472">
        <v>0.0</v>
      </c>
      <c r="C3" s="473">
        <f t="shared" ref="C3:C14" si="1">10*B3</f>
        <v>0</v>
      </c>
      <c r="D3" s="478">
        <v>0.0</v>
      </c>
      <c r="E3" s="473">
        <v>0.0</v>
      </c>
      <c r="F3" s="553">
        <v>0.0</v>
      </c>
      <c r="G3" s="475">
        <f t="shared" ref="G3:G14" si="2">SUM(C3:F3)</f>
        <v>0</v>
      </c>
      <c r="H3" s="554">
        <v>50.0</v>
      </c>
      <c r="I3" s="475">
        <f t="shared" ref="I3:I14" si="3">G3-H3</f>
        <v>-50</v>
      </c>
      <c r="J3" s="447"/>
      <c r="K3" s="364"/>
      <c r="L3" s="555" t="s">
        <v>247</v>
      </c>
      <c r="M3" s="379"/>
      <c r="N3" s="556">
        <v>45.0</v>
      </c>
      <c r="O3" s="557" t="s">
        <v>36</v>
      </c>
      <c r="P3" s="556">
        <v>50.0</v>
      </c>
      <c r="Q3" s="558" t="s">
        <v>42</v>
      </c>
    </row>
    <row r="4" ht="12.75" customHeight="1">
      <c r="A4" s="476" t="s">
        <v>38</v>
      </c>
      <c r="B4" s="477">
        <v>2.0</v>
      </c>
      <c r="C4" s="481">
        <f t="shared" si="1"/>
        <v>20</v>
      </c>
      <c r="D4" s="478">
        <v>25.0</v>
      </c>
      <c r="E4" s="478">
        <v>0.0</v>
      </c>
      <c r="F4" s="479">
        <v>0.0</v>
      </c>
      <c r="G4" s="480">
        <f t="shared" si="2"/>
        <v>45</v>
      </c>
      <c r="H4" s="559">
        <v>50.0</v>
      </c>
      <c r="I4" s="480">
        <f t="shared" si="3"/>
        <v>-5</v>
      </c>
      <c r="J4" s="447"/>
      <c r="K4" s="364"/>
      <c r="L4" s="389"/>
      <c r="N4" s="560">
        <v>50.0</v>
      </c>
      <c r="O4" s="561" t="s">
        <v>116</v>
      </c>
      <c r="P4" s="560">
        <v>50.0</v>
      </c>
      <c r="Q4" s="562" t="s">
        <v>30</v>
      </c>
    </row>
    <row r="5" ht="12.75" customHeight="1">
      <c r="A5" s="476" t="s">
        <v>31</v>
      </c>
      <c r="B5" s="477">
        <v>2.0</v>
      </c>
      <c r="C5" s="481">
        <f t="shared" si="1"/>
        <v>20</v>
      </c>
      <c r="D5" s="478">
        <v>25.0</v>
      </c>
      <c r="E5" s="478">
        <v>0.0</v>
      </c>
      <c r="F5" s="479">
        <v>0.0</v>
      </c>
      <c r="G5" s="480">
        <f t="shared" si="2"/>
        <v>45</v>
      </c>
      <c r="H5" s="559">
        <v>50.0</v>
      </c>
      <c r="I5" s="480">
        <f t="shared" si="3"/>
        <v>-5</v>
      </c>
      <c r="J5" s="447"/>
      <c r="K5" s="364"/>
      <c r="N5" s="563">
        <f>SUM(N3:N4)</f>
        <v>95</v>
      </c>
      <c r="O5" s="564" t="s">
        <v>66</v>
      </c>
      <c r="P5" s="560">
        <v>50.0</v>
      </c>
      <c r="Q5" s="562" t="s">
        <v>39</v>
      </c>
    </row>
    <row r="6" ht="12.75" customHeight="1">
      <c r="A6" s="476" t="s">
        <v>30</v>
      </c>
      <c r="B6" s="477">
        <v>2.0</v>
      </c>
      <c r="C6" s="481">
        <f t="shared" si="1"/>
        <v>20</v>
      </c>
      <c r="D6" s="478">
        <v>0.0</v>
      </c>
      <c r="E6" s="478">
        <v>0.0</v>
      </c>
      <c r="F6" s="479">
        <v>0.0</v>
      </c>
      <c r="G6" s="480">
        <f t="shared" si="2"/>
        <v>20</v>
      </c>
      <c r="H6" s="559">
        <v>50.0</v>
      </c>
      <c r="I6" s="480">
        <f t="shared" si="3"/>
        <v>-30</v>
      </c>
      <c r="J6" s="447"/>
      <c r="K6" s="364"/>
      <c r="P6" s="560">
        <v>50.0</v>
      </c>
      <c r="Q6" s="562" t="s">
        <v>37</v>
      </c>
    </row>
    <row r="7" ht="12.75" customHeight="1">
      <c r="A7" s="476" t="s">
        <v>42</v>
      </c>
      <c r="B7" s="477">
        <v>2.0</v>
      </c>
      <c r="C7" s="481">
        <f t="shared" si="1"/>
        <v>20</v>
      </c>
      <c r="D7" s="478">
        <v>0.0</v>
      </c>
      <c r="E7" s="478">
        <v>0.0</v>
      </c>
      <c r="F7" s="479">
        <v>0.0</v>
      </c>
      <c r="G7" s="480">
        <f t="shared" si="2"/>
        <v>20</v>
      </c>
      <c r="H7" s="559">
        <v>50.0</v>
      </c>
      <c r="I7" s="480">
        <f t="shared" si="3"/>
        <v>-30</v>
      </c>
      <c r="J7" s="447"/>
      <c r="K7" s="364"/>
      <c r="P7" s="560">
        <v>50.0</v>
      </c>
      <c r="Q7" s="562" t="s">
        <v>38</v>
      </c>
    </row>
    <row r="8" ht="12.75" customHeight="1">
      <c r="A8" s="476" t="s">
        <v>34</v>
      </c>
      <c r="B8" s="477">
        <v>0.0</v>
      </c>
      <c r="C8" s="481">
        <f t="shared" si="1"/>
        <v>0</v>
      </c>
      <c r="D8" s="478">
        <v>0.0</v>
      </c>
      <c r="E8" s="478">
        <v>0.0</v>
      </c>
      <c r="F8" s="479">
        <v>0.0</v>
      </c>
      <c r="G8" s="480">
        <f t="shared" si="2"/>
        <v>0</v>
      </c>
      <c r="H8" s="559">
        <v>50.0</v>
      </c>
      <c r="I8" s="480">
        <f t="shared" si="3"/>
        <v>-50</v>
      </c>
      <c r="J8" s="447"/>
      <c r="K8" s="364"/>
      <c r="P8" s="560">
        <v>50.0</v>
      </c>
      <c r="Q8" s="562" t="s">
        <v>248</v>
      </c>
    </row>
    <row r="9" ht="12.75" customHeight="1">
      <c r="A9" s="476" t="s">
        <v>39</v>
      </c>
      <c r="B9" s="477">
        <v>1.0</v>
      </c>
      <c r="C9" s="481">
        <f t="shared" si="1"/>
        <v>10</v>
      </c>
      <c r="D9" s="478">
        <v>25.0</v>
      </c>
      <c r="E9" s="478">
        <v>75.0</v>
      </c>
      <c r="F9" s="479">
        <v>0.0</v>
      </c>
      <c r="G9" s="480">
        <f t="shared" si="2"/>
        <v>110</v>
      </c>
      <c r="H9" s="559">
        <v>50.0</v>
      </c>
      <c r="I9" s="480">
        <f t="shared" si="3"/>
        <v>60</v>
      </c>
      <c r="J9" s="447"/>
      <c r="K9" s="364"/>
      <c r="O9" s="365"/>
      <c r="P9" s="560">
        <v>50.0</v>
      </c>
      <c r="Q9" s="562" t="s">
        <v>35</v>
      </c>
    </row>
    <row r="10" ht="12.75" customHeight="1">
      <c r="A10" s="476" t="s">
        <v>36</v>
      </c>
      <c r="B10" s="477">
        <v>0.0</v>
      </c>
      <c r="C10" s="481">
        <f t="shared" si="1"/>
        <v>0</v>
      </c>
      <c r="D10" s="478">
        <v>0.0</v>
      </c>
      <c r="E10" s="478">
        <v>0.0</v>
      </c>
      <c r="F10" s="479">
        <v>0.0</v>
      </c>
      <c r="G10" s="480">
        <f t="shared" si="2"/>
        <v>0</v>
      </c>
      <c r="H10" s="559">
        <v>50.0</v>
      </c>
      <c r="I10" s="480">
        <f t="shared" si="3"/>
        <v>-50</v>
      </c>
      <c r="J10" s="447"/>
      <c r="K10" s="364"/>
      <c r="O10" s="365"/>
      <c r="P10" s="565">
        <v>50.0</v>
      </c>
      <c r="Q10" s="562" t="s">
        <v>43</v>
      </c>
    </row>
    <row r="11" ht="12.75" customHeight="1">
      <c r="A11" s="476" t="s">
        <v>35</v>
      </c>
      <c r="B11" s="477">
        <v>1.0</v>
      </c>
      <c r="C11" s="481">
        <f t="shared" si="1"/>
        <v>10</v>
      </c>
      <c r="D11" s="478">
        <v>25.0</v>
      </c>
      <c r="E11" s="478">
        <v>0.0</v>
      </c>
      <c r="F11" s="479">
        <v>0.0</v>
      </c>
      <c r="G11" s="480">
        <f t="shared" si="2"/>
        <v>35</v>
      </c>
      <c r="H11" s="559">
        <v>50.0</v>
      </c>
      <c r="I11" s="480">
        <f t="shared" si="3"/>
        <v>-15</v>
      </c>
      <c r="J11" s="447"/>
      <c r="K11" s="364"/>
      <c r="O11" s="365"/>
      <c r="P11" s="560">
        <v>50.0</v>
      </c>
      <c r="Q11" s="562" t="s">
        <v>34</v>
      </c>
    </row>
    <row r="12" ht="12.75" customHeight="1">
      <c r="A12" s="476" t="s">
        <v>248</v>
      </c>
      <c r="B12" s="477">
        <v>1.0</v>
      </c>
      <c r="C12" s="481">
        <f t="shared" si="1"/>
        <v>10</v>
      </c>
      <c r="D12" s="478">
        <v>0.0</v>
      </c>
      <c r="E12" s="478">
        <v>0.0</v>
      </c>
      <c r="F12" s="479">
        <v>0.0</v>
      </c>
      <c r="G12" s="480">
        <f t="shared" si="2"/>
        <v>10</v>
      </c>
      <c r="H12" s="559">
        <v>50.0</v>
      </c>
      <c r="I12" s="480">
        <f t="shared" si="3"/>
        <v>-40</v>
      </c>
      <c r="J12" s="447"/>
      <c r="K12" s="364"/>
      <c r="O12" s="365"/>
      <c r="P12" s="566">
        <v>50.0</v>
      </c>
      <c r="Q12" s="567" t="s">
        <v>31</v>
      </c>
    </row>
    <row r="13" ht="12.75" customHeight="1">
      <c r="A13" s="476" t="s">
        <v>116</v>
      </c>
      <c r="B13" s="477">
        <v>1.0</v>
      </c>
      <c r="C13" s="481">
        <f t="shared" si="1"/>
        <v>10</v>
      </c>
      <c r="D13" s="478">
        <v>0.0</v>
      </c>
      <c r="E13" s="478">
        <v>0.0</v>
      </c>
      <c r="F13" s="479">
        <v>0.0</v>
      </c>
      <c r="G13" s="480">
        <f t="shared" si="2"/>
        <v>10</v>
      </c>
      <c r="H13" s="559">
        <v>50.0</v>
      </c>
      <c r="I13" s="480">
        <f t="shared" si="3"/>
        <v>-40</v>
      </c>
      <c r="J13" s="447"/>
      <c r="K13" s="364"/>
      <c r="O13" s="365"/>
      <c r="P13" s="563">
        <f>SUM(P3:P12)</f>
        <v>500</v>
      </c>
      <c r="Q13" s="568" t="s">
        <v>66</v>
      </c>
    </row>
    <row r="14" ht="12.75" customHeight="1">
      <c r="A14" s="483" t="s">
        <v>37</v>
      </c>
      <c r="B14" s="484">
        <v>1.0</v>
      </c>
      <c r="C14" s="485">
        <f t="shared" si="1"/>
        <v>10</v>
      </c>
      <c r="D14" s="485">
        <v>25.0</v>
      </c>
      <c r="E14" s="485">
        <v>75.0</v>
      </c>
      <c r="F14" s="486">
        <v>140.0</v>
      </c>
      <c r="G14" s="487">
        <f t="shared" si="2"/>
        <v>250</v>
      </c>
      <c r="H14" s="569">
        <v>50.0</v>
      </c>
      <c r="I14" s="487">
        <f t="shared" si="3"/>
        <v>200</v>
      </c>
      <c r="J14" s="447"/>
      <c r="K14" s="364"/>
      <c r="O14" s="365"/>
    </row>
    <row r="15" ht="12.75" customHeight="1">
      <c r="A15" s="445"/>
      <c r="B15" s="445"/>
      <c r="C15" s="446" t="s">
        <v>208</v>
      </c>
      <c r="D15" s="445"/>
      <c r="E15" s="445"/>
      <c r="F15" s="445"/>
      <c r="G15" s="445"/>
      <c r="H15" s="445"/>
      <c r="I15" s="445"/>
      <c r="J15" s="447"/>
      <c r="K15" s="364"/>
      <c r="O15" s="365"/>
    </row>
    <row r="16" ht="12.75" customHeight="1">
      <c r="A16" s="448" t="s">
        <v>0</v>
      </c>
      <c r="B16" s="449" t="s">
        <v>108</v>
      </c>
      <c r="C16" s="449" t="s">
        <v>108</v>
      </c>
      <c r="D16" s="449" t="s">
        <v>203</v>
      </c>
      <c r="E16" s="449" t="s">
        <v>204</v>
      </c>
      <c r="F16" s="450" t="s">
        <v>205</v>
      </c>
      <c r="G16" s="451" t="s">
        <v>110</v>
      </c>
      <c r="H16" s="451" t="s">
        <v>111</v>
      </c>
      <c r="I16" s="451" t="s">
        <v>113</v>
      </c>
      <c r="J16" s="447"/>
      <c r="K16" s="364"/>
      <c r="O16" s="365"/>
    </row>
    <row r="17" ht="12.75" customHeight="1">
      <c r="A17" s="471" t="s">
        <v>43</v>
      </c>
      <c r="B17" s="472">
        <v>2.0</v>
      </c>
      <c r="C17" s="473">
        <f t="shared" ref="C17:C28" si="4">B17*10</f>
        <v>20</v>
      </c>
      <c r="D17" s="473">
        <v>25.0</v>
      </c>
      <c r="E17" s="473">
        <v>75.0</v>
      </c>
      <c r="F17" s="553">
        <v>140.0</v>
      </c>
      <c r="G17" s="475">
        <f t="shared" ref="G17:G28" si="5">SUM(C17:F17)</f>
        <v>260</v>
      </c>
      <c r="H17" s="475">
        <v>50.0</v>
      </c>
      <c r="I17" s="475">
        <f t="shared" ref="I17:I28" si="6">G17-H17</f>
        <v>210</v>
      </c>
      <c r="J17" s="447"/>
      <c r="K17" s="364"/>
      <c r="O17" s="365"/>
    </row>
    <row r="18" ht="12.75" customHeight="1">
      <c r="A18" s="476" t="s">
        <v>38</v>
      </c>
      <c r="B18" s="477">
        <v>0.0</v>
      </c>
      <c r="C18" s="478">
        <f t="shared" si="4"/>
        <v>0</v>
      </c>
      <c r="D18" s="478">
        <v>0.0</v>
      </c>
      <c r="E18" s="478">
        <v>0.0</v>
      </c>
      <c r="F18" s="479">
        <v>0.0</v>
      </c>
      <c r="G18" s="480">
        <f t="shared" si="5"/>
        <v>0</v>
      </c>
      <c r="H18" s="480">
        <v>50.0</v>
      </c>
      <c r="I18" s="480">
        <f t="shared" si="6"/>
        <v>-50</v>
      </c>
      <c r="J18" s="447"/>
      <c r="K18" s="364"/>
      <c r="O18" s="365"/>
    </row>
    <row r="19" ht="12.75" customHeight="1">
      <c r="A19" s="476" t="s">
        <v>31</v>
      </c>
      <c r="B19" s="477">
        <v>1.0</v>
      </c>
      <c r="C19" s="481">
        <f t="shared" si="4"/>
        <v>10</v>
      </c>
      <c r="D19" s="478">
        <v>0.0</v>
      </c>
      <c r="E19" s="478">
        <v>0.0</v>
      </c>
      <c r="F19" s="479">
        <v>0.0</v>
      </c>
      <c r="G19" s="480">
        <f t="shared" si="5"/>
        <v>10</v>
      </c>
      <c r="H19" s="480">
        <v>50.0</v>
      </c>
      <c r="I19" s="480">
        <f t="shared" si="6"/>
        <v>-40</v>
      </c>
      <c r="J19" s="447"/>
      <c r="K19" s="364"/>
    </row>
    <row r="20" ht="12.75" customHeight="1">
      <c r="A20" s="476" t="s">
        <v>30</v>
      </c>
      <c r="B20" s="477">
        <v>1.0</v>
      </c>
      <c r="C20" s="478">
        <f t="shared" si="4"/>
        <v>10</v>
      </c>
      <c r="D20" s="478">
        <v>0.0</v>
      </c>
      <c r="E20" s="478">
        <v>0.0</v>
      </c>
      <c r="F20" s="479">
        <v>0.0</v>
      </c>
      <c r="G20" s="480">
        <f t="shared" si="5"/>
        <v>10</v>
      </c>
      <c r="H20" s="480">
        <v>50.0</v>
      </c>
      <c r="I20" s="480">
        <f t="shared" si="6"/>
        <v>-40</v>
      </c>
      <c r="J20" s="447"/>
      <c r="K20" s="364"/>
    </row>
    <row r="21" ht="12.75" customHeight="1">
      <c r="A21" s="476" t="s">
        <v>42</v>
      </c>
      <c r="B21" s="477">
        <v>2.0</v>
      </c>
      <c r="C21" s="481">
        <f t="shared" si="4"/>
        <v>20</v>
      </c>
      <c r="D21" s="478">
        <v>25.0</v>
      </c>
      <c r="E21" s="478">
        <v>0.0</v>
      </c>
      <c r="F21" s="479">
        <v>0.0</v>
      </c>
      <c r="G21" s="480">
        <f t="shared" si="5"/>
        <v>45</v>
      </c>
      <c r="H21" s="480">
        <v>50.0</v>
      </c>
      <c r="I21" s="480">
        <f t="shared" si="6"/>
        <v>-5</v>
      </c>
      <c r="J21" s="447"/>
      <c r="K21" s="364"/>
    </row>
    <row r="22" ht="12.75" customHeight="1">
      <c r="A22" s="476" t="s">
        <v>34</v>
      </c>
      <c r="B22" s="477">
        <v>2.0</v>
      </c>
      <c r="C22" s="478">
        <f t="shared" si="4"/>
        <v>20</v>
      </c>
      <c r="D22" s="478">
        <v>25.0</v>
      </c>
      <c r="E22" s="478">
        <v>0.0</v>
      </c>
      <c r="F22" s="479">
        <v>0.0</v>
      </c>
      <c r="G22" s="480">
        <f t="shared" si="5"/>
        <v>45</v>
      </c>
      <c r="H22" s="480">
        <v>50.0</v>
      </c>
      <c r="I22" s="480">
        <f t="shared" si="6"/>
        <v>-5</v>
      </c>
      <c r="J22" s="447"/>
      <c r="K22" s="364"/>
      <c r="O22" s="365"/>
    </row>
    <row r="23" ht="12.75" customHeight="1">
      <c r="A23" s="476" t="s">
        <v>39</v>
      </c>
      <c r="B23" s="477">
        <v>0.0</v>
      </c>
      <c r="C23" s="481">
        <f t="shared" si="4"/>
        <v>0</v>
      </c>
      <c r="D23" s="478">
        <v>0.0</v>
      </c>
      <c r="E23" s="478">
        <v>0.0</v>
      </c>
      <c r="F23" s="479">
        <v>0.0</v>
      </c>
      <c r="G23" s="480">
        <f t="shared" si="5"/>
        <v>0</v>
      </c>
      <c r="H23" s="480">
        <v>50.0</v>
      </c>
      <c r="I23" s="480">
        <f t="shared" si="6"/>
        <v>-50</v>
      </c>
      <c r="J23" s="447"/>
      <c r="K23" s="364"/>
      <c r="O23" s="365"/>
    </row>
    <row r="24" ht="12.75" customHeight="1">
      <c r="A24" s="476" t="s">
        <v>36</v>
      </c>
      <c r="B24" s="477">
        <v>0.0</v>
      </c>
      <c r="C24" s="481">
        <f t="shared" si="4"/>
        <v>0</v>
      </c>
      <c r="D24" s="478">
        <v>0.0</v>
      </c>
      <c r="E24" s="478">
        <v>0.0</v>
      </c>
      <c r="F24" s="479">
        <v>0.0</v>
      </c>
      <c r="G24" s="480">
        <f t="shared" si="5"/>
        <v>0</v>
      </c>
      <c r="H24" s="480">
        <v>50.0</v>
      </c>
      <c r="I24" s="480">
        <f t="shared" si="6"/>
        <v>-50</v>
      </c>
      <c r="J24" s="447"/>
      <c r="K24" s="364"/>
      <c r="O24" s="365"/>
    </row>
    <row r="25" ht="12.75" customHeight="1">
      <c r="A25" s="476" t="s">
        <v>35</v>
      </c>
      <c r="B25" s="477">
        <v>2.0</v>
      </c>
      <c r="C25" s="481">
        <f t="shared" si="4"/>
        <v>20</v>
      </c>
      <c r="D25" s="478">
        <v>0.0</v>
      </c>
      <c r="E25" s="478">
        <v>0.0</v>
      </c>
      <c r="F25" s="479">
        <v>0.0</v>
      </c>
      <c r="G25" s="480">
        <f t="shared" si="5"/>
        <v>20</v>
      </c>
      <c r="H25" s="480">
        <v>50.0</v>
      </c>
      <c r="I25" s="480">
        <f t="shared" si="6"/>
        <v>-30</v>
      </c>
      <c r="J25" s="447"/>
      <c r="K25" s="364"/>
      <c r="O25" s="365"/>
    </row>
    <row r="26" ht="12.75" customHeight="1">
      <c r="A26" s="476" t="s">
        <v>248</v>
      </c>
      <c r="B26" s="477">
        <v>3.0</v>
      </c>
      <c r="C26" s="478">
        <f t="shared" si="4"/>
        <v>30</v>
      </c>
      <c r="D26" s="478">
        <v>25.0</v>
      </c>
      <c r="E26" s="478">
        <v>0.0</v>
      </c>
      <c r="F26" s="479">
        <v>0.0</v>
      </c>
      <c r="G26" s="480">
        <f t="shared" si="5"/>
        <v>55</v>
      </c>
      <c r="H26" s="480">
        <v>50.0</v>
      </c>
      <c r="I26" s="480">
        <f t="shared" si="6"/>
        <v>5</v>
      </c>
      <c r="J26" s="447"/>
      <c r="K26" s="364"/>
      <c r="O26" s="365"/>
    </row>
    <row r="27" ht="12.75" customHeight="1">
      <c r="A27" s="476" t="s">
        <v>116</v>
      </c>
      <c r="B27" s="477">
        <v>1.0</v>
      </c>
      <c r="C27" s="481">
        <f t="shared" si="4"/>
        <v>10</v>
      </c>
      <c r="D27" s="478">
        <v>25.0</v>
      </c>
      <c r="E27" s="478">
        <v>0.0</v>
      </c>
      <c r="F27" s="479">
        <v>0.0</v>
      </c>
      <c r="G27" s="480">
        <f t="shared" si="5"/>
        <v>35</v>
      </c>
      <c r="H27" s="480">
        <v>50.0</v>
      </c>
      <c r="I27" s="480">
        <f t="shared" si="6"/>
        <v>-15</v>
      </c>
      <c r="J27" s="447"/>
      <c r="K27" s="364"/>
      <c r="O27" s="365"/>
    </row>
    <row r="28" ht="12.75" customHeight="1">
      <c r="A28" s="483" t="s">
        <v>37</v>
      </c>
      <c r="B28" s="484">
        <v>2.0</v>
      </c>
      <c r="C28" s="485">
        <f t="shared" si="4"/>
        <v>20</v>
      </c>
      <c r="D28" s="485">
        <v>25.0</v>
      </c>
      <c r="E28" s="485">
        <v>75.0</v>
      </c>
      <c r="F28" s="486">
        <v>0.0</v>
      </c>
      <c r="G28" s="487">
        <f t="shared" si="5"/>
        <v>120</v>
      </c>
      <c r="H28" s="487">
        <v>50.0</v>
      </c>
      <c r="I28" s="487">
        <f t="shared" si="6"/>
        <v>70</v>
      </c>
      <c r="J28" s="447"/>
      <c r="K28" s="364"/>
      <c r="O28" s="365"/>
    </row>
    <row r="29" ht="12.75" customHeight="1">
      <c r="A29" s="447"/>
      <c r="B29" s="447"/>
      <c r="C29" s="447"/>
      <c r="D29" s="447"/>
      <c r="E29" s="447"/>
      <c r="F29" s="447"/>
      <c r="G29" s="447"/>
      <c r="H29" s="447"/>
      <c r="I29" s="447"/>
      <c r="J29" s="447"/>
      <c r="K29" s="364"/>
      <c r="O29" s="365"/>
    </row>
    <row r="30" ht="12.75" customHeight="1">
      <c r="C30" s="389">
        <f t="shared" ref="C30:F30" si="7">SUM(C17:C28)</f>
        <v>160</v>
      </c>
      <c r="D30" s="389">
        <f t="shared" si="7"/>
        <v>150</v>
      </c>
      <c r="E30" s="389">
        <f t="shared" si="7"/>
        <v>150</v>
      </c>
      <c r="F30" s="389">
        <f t="shared" si="7"/>
        <v>140</v>
      </c>
      <c r="G30" s="389"/>
      <c r="H30" s="364"/>
      <c r="J30" s="364"/>
      <c r="K30" s="364"/>
      <c r="O30" s="365"/>
    </row>
    <row r="31" ht="12.75" customHeight="1">
      <c r="A31" s="488" t="s">
        <v>118</v>
      </c>
      <c r="B31" s="489" t="s">
        <v>0</v>
      </c>
      <c r="C31" s="489" t="s">
        <v>119</v>
      </c>
      <c r="D31" s="489" t="s">
        <v>114</v>
      </c>
      <c r="E31" s="490" t="s">
        <v>120</v>
      </c>
      <c r="F31" s="364"/>
      <c r="G31" s="364"/>
      <c r="H31" s="364"/>
      <c r="J31" s="491" t="s">
        <v>123</v>
      </c>
      <c r="K31" s="492" t="s">
        <v>124</v>
      </c>
      <c r="L31" s="424" t="s">
        <v>125</v>
      </c>
      <c r="M31" s="424" t="s">
        <v>126</v>
      </c>
      <c r="N31" s="424" t="s">
        <v>127</v>
      </c>
      <c r="O31" s="424" t="s">
        <v>128</v>
      </c>
      <c r="P31" s="424" t="s">
        <v>129</v>
      </c>
      <c r="Q31" s="493" t="s">
        <v>130</v>
      </c>
    </row>
    <row r="32" ht="12.75" customHeight="1">
      <c r="A32" s="494" t="s">
        <v>121</v>
      </c>
      <c r="B32" s="570" t="s">
        <v>248</v>
      </c>
      <c r="C32" s="571">
        <v>10.0</v>
      </c>
      <c r="D32" s="570" t="s">
        <v>122</v>
      </c>
      <c r="E32" s="572">
        <v>150.5</v>
      </c>
      <c r="F32" s="364"/>
      <c r="G32" s="364"/>
      <c r="H32" s="364"/>
      <c r="J32" s="499">
        <v>1.0</v>
      </c>
      <c r="K32" s="573" t="s">
        <v>184</v>
      </c>
      <c r="L32" s="574">
        <v>10.0</v>
      </c>
      <c r="M32" s="574">
        <v>3.0</v>
      </c>
      <c r="N32" s="574">
        <v>0.0</v>
      </c>
      <c r="O32" s="575">
        <v>0.0</v>
      </c>
      <c r="P32" s="574">
        <v>1679.5</v>
      </c>
      <c r="Q32" s="576">
        <v>1414.3</v>
      </c>
    </row>
    <row r="33" ht="12.75" customHeight="1">
      <c r="A33" s="504" t="s">
        <v>132</v>
      </c>
      <c r="B33" s="577" t="s">
        <v>42</v>
      </c>
      <c r="C33" s="578">
        <v>10.0</v>
      </c>
      <c r="D33" s="577" t="s">
        <v>122</v>
      </c>
      <c r="E33" s="579">
        <v>168.5</v>
      </c>
      <c r="F33" s="364"/>
      <c r="G33" s="364"/>
      <c r="H33" s="364"/>
      <c r="J33" s="507">
        <v>2.0</v>
      </c>
      <c r="K33" s="580" t="s">
        <v>187</v>
      </c>
      <c r="L33" s="581">
        <v>9.0</v>
      </c>
      <c r="M33" s="581">
        <v>4.0</v>
      </c>
      <c r="N33" s="581">
        <v>0.0</v>
      </c>
      <c r="O33" s="582">
        <v>1.0</v>
      </c>
      <c r="P33" s="583">
        <v>1737.8</v>
      </c>
      <c r="Q33" s="584">
        <v>1489.8</v>
      </c>
    </row>
    <row r="34" ht="12.75" customHeight="1">
      <c r="A34" s="504" t="s">
        <v>134</v>
      </c>
      <c r="B34" s="577" t="s">
        <v>38</v>
      </c>
      <c r="C34" s="578">
        <v>10.0</v>
      </c>
      <c r="D34" s="577" t="s">
        <v>122</v>
      </c>
      <c r="E34" s="579">
        <v>170.0</v>
      </c>
      <c r="F34" s="364"/>
      <c r="G34" s="364"/>
      <c r="H34" s="364"/>
      <c r="J34" s="507">
        <v>3.0</v>
      </c>
      <c r="K34" s="585" t="s">
        <v>209</v>
      </c>
      <c r="L34" s="581">
        <v>9.0</v>
      </c>
      <c r="M34" s="581">
        <v>4.0</v>
      </c>
      <c r="N34" s="581">
        <v>0.0</v>
      </c>
      <c r="O34" s="582">
        <v>1.0</v>
      </c>
      <c r="P34" s="583">
        <v>1693.8</v>
      </c>
      <c r="Q34" s="584">
        <v>1534.3</v>
      </c>
    </row>
    <row r="35" ht="12.75" customHeight="1">
      <c r="A35" s="504" t="s">
        <v>136</v>
      </c>
      <c r="B35" s="577" t="s">
        <v>37</v>
      </c>
      <c r="C35" s="578">
        <v>10.0</v>
      </c>
      <c r="D35" s="586" t="s">
        <v>122</v>
      </c>
      <c r="E35" s="579">
        <v>159.5</v>
      </c>
      <c r="F35" s="364"/>
      <c r="G35" s="364"/>
      <c r="H35" s="364"/>
      <c r="J35" s="507">
        <v>4.0</v>
      </c>
      <c r="K35" s="585" t="s">
        <v>211</v>
      </c>
      <c r="L35" s="581">
        <v>8.0</v>
      </c>
      <c r="M35" s="581">
        <v>5.0</v>
      </c>
      <c r="N35" s="581">
        <v>0.0</v>
      </c>
      <c r="O35" s="582">
        <v>2.0</v>
      </c>
      <c r="P35" s="583">
        <v>1550.3</v>
      </c>
      <c r="Q35" s="584">
        <v>1551.8</v>
      </c>
    </row>
    <row r="36" ht="12.75" customHeight="1">
      <c r="A36" s="504" t="s">
        <v>138</v>
      </c>
      <c r="B36" s="577" t="s">
        <v>39</v>
      </c>
      <c r="C36" s="578">
        <v>10.0</v>
      </c>
      <c r="D36" s="577" t="s">
        <v>122</v>
      </c>
      <c r="E36" s="579">
        <v>161.0</v>
      </c>
      <c r="F36" s="364"/>
      <c r="G36" s="364"/>
      <c r="H36" s="364"/>
      <c r="J36" s="515">
        <v>5.0</v>
      </c>
      <c r="K36" s="585" t="s">
        <v>143</v>
      </c>
      <c r="L36" s="581">
        <v>7.0</v>
      </c>
      <c r="M36" s="581">
        <v>6.0</v>
      </c>
      <c r="N36" s="581">
        <v>0.0</v>
      </c>
      <c r="O36" s="587">
        <v>3.0</v>
      </c>
      <c r="P36" s="583">
        <v>1673.8</v>
      </c>
      <c r="Q36" s="588">
        <v>1586.8</v>
      </c>
    </row>
    <row r="37" ht="12.75" customHeight="1">
      <c r="A37" s="504" t="s">
        <v>140</v>
      </c>
      <c r="B37" s="577" t="s">
        <v>38</v>
      </c>
      <c r="C37" s="578">
        <v>10.0</v>
      </c>
      <c r="D37" s="577" t="s">
        <v>122</v>
      </c>
      <c r="E37" s="579">
        <v>167.5</v>
      </c>
      <c r="F37" s="364"/>
      <c r="G37" s="364"/>
      <c r="H37" s="364"/>
      <c r="J37" s="517">
        <v>6.0</v>
      </c>
      <c r="K37" s="589" t="s">
        <v>235</v>
      </c>
      <c r="L37" s="590">
        <v>7.0</v>
      </c>
      <c r="M37" s="590">
        <v>6.0</v>
      </c>
      <c r="N37" s="590">
        <v>0.0</v>
      </c>
      <c r="O37" s="591">
        <v>4.0</v>
      </c>
      <c r="P37" s="590">
        <v>1526.3</v>
      </c>
      <c r="Q37" s="592">
        <v>1462.5</v>
      </c>
    </row>
    <row r="38" ht="12.75" customHeight="1">
      <c r="A38" s="504" t="s">
        <v>142</v>
      </c>
      <c r="B38" s="577" t="s">
        <v>31</v>
      </c>
      <c r="C38" s="578">
        <v>10.0</v>
      </c>
      <c r="D38" s="577" t="s">
        <v>122</v>
      </c>
      <c r="E38" s="579">
        <v>185.0</v>
      </c>
      <c r="F38" s="364"/>
      <c r="G38" s="364"/>
      <c r="H38" s="364"/>
      <c r="J38" s="522">
        <v>7.0</v>
      </c>
      <c r="K38" s="593" t="s">
        <v>151</v>
      </c>
      <c r="L38" s="594">
        <v>6.0</v>
      </c>
      <c r="M38" s="594">
        <v>7.0</v>
      </c>
      <c r="N38" s="594">
        <v>0.0</v>
      </c>
      <c r="O38" s="595">
        <v>4.0</v>
      </c>
      <c r="P38" s="594">
        <v>1488.0</v>
      </c>
      <c r="Q38" s="596">
        <v>1499.0</v>
      </c>
    </row>
    <row r="39" ht="12.75" customHeight="1">
      <c r="A39" s="504" t="s">
        <v>144</v>
      </c>
      <c r="B39" s="577" t="s">
        <v>31</v>
      </c>
      <c r="C39" s="578">
        <v>10.0</v>
      </c>
      <c r="D39" s="577" t="s">
        <v>122</v>
      </c>
      <c r="E39" s="579">
        <v>153.5</v>
      </c>
      <c r="F39" s="364"/>
      <c r="G39" s="364"/>
      <c r="H39" s="364"/>
      <c r="J39" s="527">
        <v>8.0</v>
      </c>
      <c r="K39" s="593" t="s">
        <v>149</v>
      </c>
      <c r="L39" s="594">
        <v>6.0</v>
      </c>
      <c r="M39" s="594">
        <v>7.0</v>
      </c>
      <c r="N39" s="597">
        <v>0.0</v>
      </c>
      <c r="O39" s="598">
        <v>4.0</v>
      </c>
      <c r="P39" s="597">
        <v>1409.0</v>
      </c>
      <c r="Q39" s="599">
        <v>1511.5</v>
      </c>
    </row>
    <row r="40" ht="12.75" customHeight="1">
      <c r="A40" s="504" t="s">
        <v>146</v>
      </c>
      <c r="B40" s="577" t="s">
        <v>116</v>
      </c>
      <c r="C40" s="578">
        <v>10.0</v>
      </c>
      <c r="D40" s="577" t="s">
        <v>122</v>
      </c>
      <c r="E40" s="579">
        <v>139.5</v>
      </c>
      <c r="F40" s="364"/>
      <c r="G40" s="364"/>
      <c r="H40" s="364"/>
      <c r="J40" s="522">
        <v>9.0</v>
      </c>
      <c r="K40" s="600" t="s">
        <v>249</v>
      </c>
      <c r="L40" s="594">
        <v>5.0</v>
      </c>
      <c r="M40" s="594">
        <v>8.0</v>
      </c>
      <c r="N40" s="597">
        <v>0.0</v>
      </c>
      <c r="O40" s="595">
        <v>5.0</v>
      </c>
      <c r="P40" s="594">
        <v>1620.0</v>
      </c>
      <c r="Q40" s="599">
        <v>1570.5</v>
      </c>
    </row>
    <row r="41" ht="12.75" customHeight="1">
      <c r="A41" s="504" t="s">
        <v>148</v>
      </c>
      <c r="B41" s="577" t="s">
        <v>42</v>
      </c>
      <c r="C41" s="578">
        <v>10.0</v>
      </c>
      <c r="D41" s="577" t="s">
        <v>122</v>
      </c>
      <c r="E41" s="579">
        <v>140.8</v>
      </c>
      <c r="F41" s="364"/>
      <c r="G41" s="364"/>
      <c r="H41" s="364"/>
      <c r="J41" s="527">
        <v>10.0</v>
      </c>
      <c r="K41" s="600" t="s">
        <v>250</v>
      </c>
      <c r="L41" s="594">
        <v>5.0</v>
      </c>
      <c r="M41" s="594">
        <v>8.0</v>
      </c>
      <c r="N41" s="597">
        <v>0.0</v>
      </c>
      <c r="O41" s="598">
        <v>5.0</v>
      </c>
      <c r="P41" s="597">
        <v>1354.5</v>
      </c>
      <c r="Q41" s="599">
        <v>1514.0</v>
      </c>
    </row>
    <row r="42" ht="12.75" customHeight="1">
      <c r="A42" s="504" t="s">
        <v>150</v>
      </c>
      <c r="B42" s="577" t="s">
        <v>30</v>
      </c>
      <c r="C42" s="578">
        <v>10.0</v>
      </c>
      <c r="D42" s="577" t="s">
        <v>122</v>
      </c>
      <c r="E42" s="579">
        <v>177.0</v>
      </c>
      <c r="F42" s="364"/>
      <c r="G42" s="364"/>
      <c r="H42" s="364"/>
      <c r="J42" s="532">
        <v>11.0</v>
      </c>
      <c r="K42" s="600" t="s">
        <v>251</v>
      </c>
      <c r="L42" s="594">
        <v>3.0</v>
      </c>
      <c r="M42" s="594">
        <v>10.0</v>
      </c>
      <c r="N42" s="597">
        <v>0.0</v>
      </c>
      <c r="O42" s="598">
        <v>7.0</v>
      </c>
      <c r="P42" s="597">
        <v>1447.3</v>
      </c>
      <c r="Q42" s="599">
        <v>1570.0</v>
      </c>
    </row>
    <row r="43" ht="12.75" customHeight="1">
      <c r="A43" s="504" t="s">
        <v>152</v>
      </c>
      <c r="B43" s="577" t="s">
        <v>35</v>
      </c>
      <c r="C43" s="578">
        <v>10.0</v>
      </c>
      <c r="D43" s="577" t="s">
        <v>122</v>
      </c>
      <c r="E43" s="579">
        <v>169.5</v>
      </c>
      <c r="F43" s="364"/>
      <c r="G43" s="364"/>
      <c r="H43" s="364"/>
      <c r="J43" s="533">
        <v>12.0</v>
      </c>
      <c r="K43" s="601" t="s">
        <v>237</v>
      </c>
      <c r="L43" s="602">
        <v>3.0</v>
      </c>
      <c r="M43" s="602">
        <v>10.0</v>
      </c>
      <c r="N43" s="602">
        <v>0.0</v>
      </c>
      <c r="O43" s="603">
        <v>7.0</v>
      </c>
      <c r="P43" s="602">
        <v>1262.8</v>
      </c>
      <c r="Q43" s="604">
        <v>1738.5</v>
      </c>
    </row>
    <row r="44" ht="12.75" customHeight="1">
      <c r="A44" s="538" t="s">
        <v>154</v>
      </c>
      <c r="B44" s="605" t="s">
        <v>248</v>
      </c>
      <c r="C44" s="606">
        <v>10.0</v>
      </c>
      <c r="D44" s="605" t="s">
        <v>122</v>
      </c>
      <c r="E44" s="607">
        <v>147.5</v>
      </c>
      <c r="F44" s="364"/>
      <c r="G44" s="364"/>
      <c r="H44" s="364"/>
      <c r="J44" s="364"/>
      <c r="K44" s="364"/>
      <c r="O44" s="365"/>
    </row>
    <row r="45" ht="12.75" customHeight="1">
      <c r="A45" s="542" t="s">
        <v>156</v>
      </c>
      <c r="B45" s="608" t="s">
        <v>30</v>
      </c>
      <c r="C45" s="609">
        <v>10.0</v>
      </c>
      <c r="D45" s="608" t="s">
        <v>122</v>
      </c>
      <c r="E45" s="610">
        <v>145.5</v>
      </c>
      <c r="F45" s="364"/>
      <c r="G45" s="364"/>
      <c r="H45" s="364"/>
      <c r="J45" s="364"/>
      <c r="K45" s="364"/>
      <c r="O45" s="365"/>
    </row>
    <row r="46" ht="12.75" customHeight="1">
      <c r="A46" s="504" t="s">
        <v>219</v>
      </c>
      <c r="B46" s="577" t="s">
        <v>37</v>
      </c>
      <c r="C46" s="578">
        <v>10.0</v>
      </c>
      <c r="D46" s="577" t="s">
        <v>122</v>
      </c>
      <c r="E46" s="579">
        <v>147.5</v>
      </c>
      <c r="F46" s="364"/>
      <c r="G46" s="364"/>
      <c r="H46" s="364"/>
      <c r="J46" s="364"/>
      <c r="K46" s="364"/>
      <c r="O46" s="365"/>
    </row>
    <row r="47" ht="12.75" customHeight="1">
      <c r="A47" s="504" t="s">
        <v>220</v>
      </c>
      <c r="B47" s="577" t="s">
        <v>37</v>
      </c>
      <c r="C47" s="578">
        <v>10.0</v>
      </c>
      <c r="D47" s="577" t="s">
        <v>122</v>
      </c>
      <c r="E47" s="579">
        <v>136.0</v>
      </c>
      <c r="F47" s="364"/>
      <c r="G47" s="364"/>
      <c r="H47" s="546"/>
      <c r="J47" s="364"/>
      <c r="K47" s="364"/>
      <c r="O47" s="365"/>
    </row>
    <row r="48" ht="12.75" customHeight="1">
      <c r="A48" s="504" t="s">
        <v>221</v>
      </c>
      <c r="B48" s="577" t="s">
        <v>38</v>
      </c>
      <c r="C48" s="578">
        <v>25.0</v>
      </c>
      <c r="D48" s="577" t="s">
        <v>122</v>
      </c>
      <c r="E48" s="579" t="s">
        <v>197</v>
      </c>
      <c r="F48" s="364"/>
      <c r="G48" s="364"/>
      <c r="H48" s="546"/>
      <c r="I48" s="546"/>
      <c r="J48" s="364"/>
      <c r="K48" s="364"/>
      <c r="O48" s="365"/>
    </row>
    <row r="49" ht="12.75" customHeight="1">
      <c r="A49" s="504" t="s">
        <v>222</v>
      </c>
      <c r="B49" s="577" t="s">
        <v>35</v>
      </c>
      <c r="C49" s="578">
        <v>25.0</v>
      </c>
      <c r="D49" s="577" t="s">
        <v>122</v>
      </c>
      <c r="E49" s="579" t="s">
        <v>197</v>
      </c>
      <c r="F49" s="364"/>
      <c r="G49" s="364"/>
      <c r="H49" s="364"/>
      <c r="I49" s="546"/>
      <c r="J49" s="364"/>
      <c r="K49" s="364"/>
      <c r="O49" s="365"/>
    </row>
    <row r="50" ht="12.75" customHeight="1">
      <c r="A50" s="504" t="s">
        <v>223</v>
      </c>
      <c r="B50" s="577" t="s">
        <v>37</v>
      </c>
      <c r="C50" s="578">
        <v>25.0</v>
      </c>
      <c r="D50" s="577" t="s">
        <v>122</v>
      </c>
      <c r="E50" s="579" t="s">
        <v>197</v>
      </c>
      <c r="F50" s="364"/>
      <c r="G50" s="364"/>
      <c r="H50" s="364"/>
      <c r="I50" s="546"/>
      <c r="J50" s="364"/>
      <c r="K50" s="364"/>
      <c r="O50" s="365"/>
    </row>
    <row r="51" ht="12.75" customHeight="1">
      <c r="A51" s="504" t="s">
        <v>224</v>
      </c>
      <c r="B51" s="577" t="s">
        <v>39</v>
      </c>
      <c r="C51" s="578">
        <v>25.0</v>
      </c>
      <c r="D51" s="577" t="s">
        <v>122</v>
      </c>
      <c r="E51" s="579" t="s">
        <v>197</v>
      </c>
      <c r="F51" s="364"/>
      <c r="G51" s="364"/>
      <c r="H51" s="546"/>
      <c r="J51" s="364"/>
      <c r="K51" s="364"/>
      <c r="O51" s="365"/>
    </row>
    <row r="52" ht="12.75" customHeight="1">
      <c r="A52" s="504" t="s">
        <v>225</v>
      </c>
      <c r="B52" s="577" t="s">
        <v>31</v>
      </c>
      <c r="C52" s="578">
        <v>25.0</v>
      </c>
      <c r="D52" s="577" t="s">
        <v>122</v>
      </c>
      <c r="E52" s="579" t="s">
        <v>197</v>
      </c>
      <c r="F52" s="364"/>
      <c r="G52" s="364"/>
      <c r="H52" s="364"/>
      <c r="J52" s="364"/>
      <c r="K52" s="364"/>
      <c r="O52" s="365"/>
    </row>
    <row r="53" ht="12.75" customHeight="1">
      <c r="A53" s="504" t="s">
        <v>226</v>
      </c>
      <c r="B53" s="577" t="s">
        <v>30</v>
      </c>
      <c r="C53" s="578">
        <v>25.0</v>
      </c>
      <c r="D53" s="577" t="s">
        <v>122</v>
      </c>
      <c r="E53" s="579" t="s">
        <v>197</v>
      </c>
      <c r="F53" s="364"/>
      <c r="G53" s="364"/>
      <c r="H53" s="364"/>
      <c r="J53" s="364"/>
      <c r="K53" s="364"/>
      <c r="O53" s="365"/>
    </row>
    <row r="54" ht="12.75" customHeight="1">
      <c r="A54" s="504" t="s">
        <v>227</v>
      </c>
      <c r="B54" s="577" t="s">
        <v>37</v>
      </c>
      <c r="C54" s="578">
        <v>75.0</v>
      </c>
      <c r="D54" s="577" t="s">
        <v>122</v>
      </c>
      <c r="E54" s="579" t="s">
        <v>197</v>
      </c>
      <c r="F54" s="364"/>
      <c r="G54" s="364"/>
      <c r="H54" s="364"/>
      <c r="J54" s="364"/>
      <c r="K54" s="364"/>
      <c r="O54" s="365"/>
    </row>
    <row r="55" ht="12.75" customHeight="1">
      <c r="A55" s="504" t="s">
        <v>228</v>
      </c>
      <c r="B55" s="577" t="s">
        <v>39</v>
      </c>
      <c r="C55" s="578">
        <v>75.0</v>
      </c>
      <c r="D55" s="577" t="s">
        <v>122</v>
      </c>
      <c r="E55" s="579" t="s">
        <v>197</v>
      </c>
      <c r="F55" s="364"/>
      <c r="G55" s="364"/>
      <c r="H55" s="364"/>
      <c r="J55" s="364"/>
      <c r="K55" s="364"/>
      <c r="O55" s="365"/>
    </row>
    <row r="56" ht="12.75" customHeight="1">
      <c r="A56" s="538" t="s">
        <v>79</v>
      </c>
      <c r="B56" s="605" t="s">
        <v>37</v>
      </c>
      <c r="C56" s="606">
        <v>140.0</v>
      </c>
      <c r="D56" s="605" t="s">
        <v>122</v>
      </c>
      <c r="E56" s="607" t="s">
        <v>197</v>
      </c>
      <c r="F56" s="364"/>
      <c r="G56" s="364"/>
      <c r="H56" s="364"/>
      <c r="J56" s="364"/>
      <c r="K56" s="364"/>
      <c r="O56" s="365"/>
    </row>
    <row r="57" ht="12.75" customHeight="1">
      <c r="C57" s="549">
        <f>SUM(C32:C56)</f>
        <v>600</v>
      </c>
      <c r="E57" s="364"/>
      <c r="F57" s="364"/>
      <c r="G57" s="364"/>
      <c r="H57" s="364"/>
      <c r="J57" s="364"/>
      <c r="K57" s="364"/>
      <c r="O57" s="365"/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N2:O2"/>
    <mergeCell ref="P2:Q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2" width="7.0"/>
    <col customWidth="1" min="3" max="3" width="10.88"/>
    <col customWidth="1" min="4" max="4" width="7.75"/>
    <col customWidth="1" min="5" max="5" width="9.25"/>
    <col customWidth="1" min="6" max="6" width="6.0"/>
    <col customWidth="1" min="7" max="7" width="7.38"/>
    <col customWidth="1" min="8" max="8" width="8.63"/>
    <col customWidth="1" min="9" max="9" width="7.0"/>
    <col customWidth="1" min="10" max="10" width="5.13"/>
    <col customWidth="1" min="11" max="11" width="17.88"/>
    <col customWidth="1" min="12" max="17" width="7.0"/>
    <col customWidth="1" min="18" max="26" width="11.0"/>
  </cols>
  <sheetData>
    <row r="1" ht="12.75" customHeight="1">
      <c r="A1" s="445"/>
      <c r="B1" s="445"/>
      <c r="C1" s="446" t="s">
        <v>202</v>
      </c>
      <c r="D1" s="445"/>
      <c r="E1" s="445"/>
      <c r="F1" s="445"/>
      <c r="G1" s="445"/>
      <c r="H1" s="445"/>
      <c r="I1" s="445"/>
      <c r="J1" s="447"/>
      <c r="K1" s="364"/>
      <c r="O1" s="365"/>
    </row>
    <row r="2" ht="12.75" customHeight="1">
      <c r="A2" s="448" t="s">
        <v>0</v>
      </c>
      <c r="B2" s="449" t="s">
        <v>108</v>
      </c>
      <c r="C2" s="449" t="s">
        <v>108</v>
      </c>
      <c r="D2" s="449" t="s">
        <v>203</v>
      </c>
      <c r="E2" s="449" t="s">
        <v>204</v>
      </c>
      <c r="F2" s="450" t="s">
        <v>205</v>
      </c>
      <c r="G2" s="451" t="s">
        <v>110</v>
      </c>
      <c r="H2" s="451" t="s">
        <v>111</v>
      </c>
      <c r="I2" s="451" t="s">
        <v>113</v>
      </c>
      <c r="J2" s="447"/>
      <c r="K2" s="364"/>
      <c r="N2" s="552" t="s">
        <v>252</v>
      </c>
      <c r="O2" s="16"/>
      <c r="P2" s="552" t="s">
        <v>229</v>
      </c>
      <c r="Q2" s="16"/>
    </row>
    <row r="3" ht="12.75" customHeight="1">
      <c r="A3" s="471" t="s">
        <v>43</v>
      </c>
      <c r="B3" s="472">
        <v>3.0</v>
      </c>
      <c r="C3" s="473">
        <f t="shared" ref="C3:C14" si="1">10*B3</f>
        <v>30</v>
      </c>
      <c r="D3" s="478">
        <v>25.0</v>
      </c>
      <c r="E3" s="473">
        <v>0.0</v>
      </c>
      <c r="F3" s="553">
        <v>0.0</v>
      </c>
      <c r="G3" s="475">
        <f t="shared" ref="G3:G14" si="2">SUM(C3:F3)</f>
        <v>55</v>
      </c>
      <c r="H3" s="475">
        <v>50.0</v>
      </c>
      <c r="I3" s="475">
        <f t="shared" ref="I3:I14" si="3">G3-H3</f>
        <v>5</v>
      </c>
      <c r="J3" s="447"/>
      <c r="K3" s="364"/>
      <c r="L3" s="555" t="s">
        <v>247</v>
      </c>
      <c r="N3" s="556">
        <v>30.0</v>
      </c>
      <c r="O3" s="557" t="s">
        <v>36</v>
      </c>
      <c r="P3" s="556">
        <v>50.0</v>
      </c>
      <c r="Q3" s="558" t="s">
        <v>42</v>
      </c>
    </row>
    <row r="4" ht="12.75" customHeight="1">
      <c r="A4" s="476" t="s">
        <v>38</v>
      </c>
      <c r="B4" s="477">
        <v>5.0</v>
      </c>
      <c r="C4" s="481">
        <f t="shared" si="1"/>
        <v>50</v>
      </c>
      <c r="D4" s="478">
        <v>25.0</v>
      </c>
      <c r="E4" s="478">
        <v>75.0</v>
      </c>
      <c r="F4" s="479"/>
      <c r="G4" s="480">
        <f t="shared" si="2"/>
        <v>150</v>
      </c>
      <c r="H4" s="480">
        <v>50.0</v>
      </c>
      <c r="I4" s="480">
        <f t="shared" si="3"/>
        <v>100</v>
      </c>
      <c r="J4" s="447"/>
      <c r="K4" s="364"/>
      <c r="L4" s="389"/>
      <c r="N4" s="560">
        <v>50.0</v>
      </c>
      <c r="O4" s="561" t="s">
        <v>116</v>
      </c>
      <c r="P4" s="560">
        <v>50.0</v>
      </c>
      <c r="Q4" s="562" t="s">
        <v>30</v>
      </c>
    </row>
    <row r="5" ht="12.75" customHeight="1">
      <c r="A5" s="476" t="s">
        <v>31</v>
      </c>
      <c r="B5" s="477">
        <v>1.0</v>
      </c>
      <c r="C5" s="481">
        <f t="shared" si="1"/>
        <v>10</v>
      </c>
      <c r="D5" s="478">
        <v>20.0</v>
      </c>
      <c r="E5" s="478">
        <v>0.0</v>
      </c>
      <c r="F5" s="479">
        <v>0.0</v>
      </c>
      <c r="G5" s="480">
        <f t="shared" si="2"/>
        <v>30</v>
      </c>
      <c r="H5" s="480">
        <v>50.0</v>
      </c>
      <c r="I5" s="480">
        <f t="shared" si="3"/>
        <v>-20</v>
      </c>
      <c r="J5" s="447"/>
      <c r="K5" s="364"/>
      <c r="N5" s="563">
        <f>SUM(N3:N4)</f>
        <v>80</v>
      </c>
      <c r="O5" s="564" t="s">
        <v>66</v>
      </c>
      <c r="P5" s="560">
        <v>40.0</v>
      </c>
      <c r="Q5" s="562" t="s">
        <v>39</v>
      </c>
    </row>
    <row r="6" ht="12.75" customHeight="1">
      <c r="A6" s="476" t="s">
        <v>30</v>
      </c>
      <c r="B6" s="477">
        <v>2.0</v>
      </c>
      <c r="C6" s="481">
        <f t="shared" si="1"/>
        <v>20</v>
      </c>
      <c r="D6" s="478">
        <v>25.0</v>
      </c>
      <c r="E6" s="478">
        <v>75.0</v>
      </c>
      <c r="F6" s="479"/>
      <c r="G6" s="480">
        <f t="shared" si="2"/>
        <v>120</v>
      </c>
      <c r="H6" s="480">
        <v>50.0</v>
      </c>
      <c r="I6" s="480">
        <f t="shared" si="3"/>
        <v>70</v>
      </c>
      <c r="J6" s="447"/>
      <c r="K6" s="364"/>
      <c r="P6" s="560">
        <v>50.0</v>
      </c>
      <c r="Q6" s="562" t="s">
        <v>37</v>
      </c>
    </row>
    <row r="7" ht="12.75" customHeight="1">
      <c r="A7" s="476" t="s">
        <v>42</v>
      </c>
      <c r="B7" s="477">
        <v>0.0</v>
      </c>
      <c r="C7" s="481">
        <f t="shared" si="1"/>
        <v>0</v>
      </c>
      <c r="D7" s="478">
        <v>0.0</v>
      </c>
      <c r="E7" s="478">
        <v>0.0</v>
      </c>
      <c r="F7" s="479">
        <v>0.0</v>
      </c>
      <c r="G7" s="480">
        <f t="shared" si="2"/>
        <v>0</v>
      </c>
      <c r="H7" s="480">
        <v>50.0</v>
      </c>
      <c r="I7" s="480">
        <f t="shared" si="3"/>
        <v>-50</v>
      </c>
      <c r="J7" s="447"/>
      <c r="K7" s="364"/>
      <c r="P7" s="560">
        <v>50.0</v>
      </c>
      <c r="Q7" s="562" t="s">
        <v>38</v>
      </c>
    </row>
    <row r="8" ht="12.75" customHeight="1">
      <c r="A8" s="476" t="s">
        <v>34</v>
      </c>
      <c r="B8" s="477">
        <v>1.0</v>
      </c>
      <c r="C8" s="481">
        <f t="shared" si="1"/>
        <v>10</v>
      </c>
      <c r="D8" s="478">
        <v>25.0</v>
      </c>
      <c r="E8" s="478">
        <v>0.0</v>
      </c>
      <c r="F8" s="479">
        <v>0.0</v>
      </c>
      <c r="G8" s="480">
        <f t="shared" si="2"/>
        <v>35</v>
      </c>
      <c r="H8" s="480">
        <v>50.0</v>
      </c>
      <c r="I8" s="480">
        <f t="shared" si="3"/>
        <v>-15</v>
      </c>
      <c r="J8" s="447"/>
      <c r="K8" s="364"/>
      <c r="P8" s="560">
        <v>50.0</v>
      </c>
      <c r="Q8" s="562" t="s">
        <v>253</v>
      </c>
    </row>
    <row r="9" ht="12.75" customHeight="1">
      <c r="A9" s="476" t="s">
        <v>39</v>
      </c>
      <c r="B9" s="477">
        <v>1.0</v>
      </c>
      <c r="C9" s="481">
        <f t="shared" si="1"/>
        <v>10</v>
      </c>
      <c r="D9" s="478">
        <v>25.0</v>
      </c>
      <c r="E9" s="478">
        <v>0.0</v>
      </c>
      <c r="F9" s="479">
        <v>0.0</v>
      </c>
      <c r="G9" s="480">
        <f t="shared" si="2"/>
        <v>35</v>
      </c>
      <c r="H9" s="480">
        <v>50.0</v>
      </c>
      <c r="I9" s="480">
        <f t="shared" si="3"/>
        <v>-15</v>
      </c>
      <c r="J9" s="447"/>
      <c r="K9" s="364"/>
      <c r="O9" s="365"/>
      <c r="P9" s="560">
        <v>50.0</v>
      </c>
      <c r="Q9" s="562" t="s">
        <v>35</v>
      </c>
    </row>
    <row r="10" ht="12.75" customHeight="1">
      <c r="A10" s="476" t="s">
        <v>36</v>
      </c>
      <c r="B10" s="477">
        <v>1.0</v>
      </c>
      <c r="C10" s="481">
        <f t="shared" si="1"/>
        <v>10</v>
      </c>
      <c r="D10" s="478">
        <v>25.0</v>
      </c>
      <c r="E10" s="478">
        <v>0.0</v>
      </c>
      <c r="F10" s="479">
        <v>0.0</v>
      </c>
      <c r="G10" s="480">
        <f t="shared" si="2"/>
        <v>35</v>
      </c>
      <c r="H10" s="480">
        <v>50.0</v>
      </c>
      <c r="I10" s="480">
        <f t="shared" si="3"/>
        <v>-15</v>
      </c>
      <c r="J10" s="447"/>
      <c r="K10" s="364"/>
      <c r="O10" s="365"/>
      <c r="P10" s="565">
        <v>50.0</v>
      </c>
      <c r="Q10" s="562" t="s">
        <v>43</v>
      </c>
    </row>
    <row r="11" ht="12.75" customHeight="1">
      <c r="A11" s="476" t="s">
        <v>35</v>
      </c>
      <c r="B11" s="477">
        <v>0.0</v>
      </c>
      <c r="C11" s="481">
        <f t="shared" si="1"/>
        <v>0</v>
      </c>
      <c r="D11" s="478">
        <v>0.0</v>
      </c>
      <c r="E11" s="478">
        <v>0.0</v>
      </c>
      <c r="F11" s="479">
        <v>0.0</v>
      </c>
      <c r="G11" s="480">
        <f t="shared" si="2"/>
        <v>0</v>
      </c>
      <c r="H11" s="480">
        <v>50.0</v>
      </c>
      <c r="I11" s="480">
        <f t="shared" si="3"/>
        <v>-50</v>
      </c>
      <c r="J11" s="447"/>
      <c r="K11" s="364"/>
      <c r="O11" s="365"/>
      <c r="P11" s="560">
        <v>50.0</v>
      </c>
      <c r="Q11" s="562" t="s">
        <v>34</v>
      </c>
    </row>
    <row r="12" ht="12.75" customHeight="1">
      <c r="A12" s="476" t="s">
        <v>254</v>
      </c>
      <c r="B12" s="477">
        <v>0.0</v>
      </c>
      <c r="C12" s="481">
        <f t="shared" si="1"/>
        <v>0</v>
      </c>
      <c r="D12" s="478">
        <v>0.0</v>
      </c>
      <c r="E12" s="478">
        <v>0.0</v>
      </c>
      <c r="F12" s="479">
        <v>0.0</v>
      </c>
      <c r="G12" s="480">
        <f t="shared" si="2"/>
        <v>0</v>
      </c>
      <c r="H12" s="480">
        <v>50.0</v>
      </c>
      <c r="I12" s="480">
        <f t="shared" si="3"/>
        <v>-50</v>
      </c>
      <c r="J12" s="447"/>
      <c r="K12" s="364"/>
      <c r="O12" s="365"/>
      <c r="P12" s="566">
        <v>50.0</v>
      </c>
      <c r="Q12" s="567" t="s">
        <v>31</v>
      </c>
    </row>
    <row r="13" ht="12.75" customHeight="1">
      <c r="A13" s="476" t="s">
        <v>116</v>
      </c>
      <c r="B13" s="477">
        <v>0.0</v>
      </c>
      <c r="C13" s="481">
        <f t="shared" si="1"/>
        <v>0</v>
      </c>
      <c r="D13" s="478">
        <v>0.0</v>
      </c>
      <c r="E13" s="478">
        <v>0.0</v>
      </c>
      <c r="F13" s="479">
        <v>0.0</v>
      </c>
      <c r="G13" s="480">
        <f t="shared" si="2"/>
        <v>0</v>
      </c>
      <c r="H13" s="480">
        <v>50.0</v>
      </c>
      <c r="I13" s="480">
        <f t="shared" si="3"/>
        <v>-50</v>
      </c>
      <c r="J13" s="447"/>
      <c r="K13" s="364"/>
      <c r="O13" s="365"/>
      <c r="P13" s="563">
        <f>SUM(P3:P12)</f>
        <v>490</v>
      </c>
      <c r="Q13" s="568" t="s">
        <v>66</v>
      </c>
    </row>
    <row r="14" ht="12.75" customHeight="1">
      <c r="A14" s="483" t="s">
        <v>37</v>
      </c>
      <c r="B14" s="484">
        <v>1.0</v>
      </c>
      <c r="C14" s="485">
        <f t="shared" si="1"/>
        <v>10</v>
      </c>
      <c r="D14" s="485">
        <v>0.0</v>
      </c>
      <c r="E14" s="485">
        <v>0.0</v>
      </c>
      <c r="F14" s="486">
        <v>0.0</v>
      </c>
      <c r="G14" s="487">
        <f t="shared" si="2"/>
        <v>10</v>
      </c>
      <c r="H14" s="487">
        <v>50.0</v>
      </c>
      <c r="I14" s="487">
        <f t="shared" si="3"/>
        <v>-40</v>
      </c>
      <c r="J14" s="447"/>
      <c r="K14" s="364"/>
      <c r="O14" s="365"/>
    </row>
    <row r="15" ht="12.75" customHeight="1">
      <c r="A15" s="445"/>
      <c r="B15" s="445"/>
      <c r="C15" s="446" t="s">
        <v>208</v>
      </c>
      <c r="D15" s="445"/>
      <c r="E15" s="445"/>
      <c r="F15" s="445"/>
      <c r="G15" s="445"/>
      <c r="H15" s="445"/>
      <c r="I15" s="445"/>
      <c r="J15" s="447"/>
      <c r="K15" s="364"/>
      <c r="O15" s="365"/>
    </row>
    <row r="16" ht="12.75" customHeight="1">
      <c r="A16" s="448" t="s">
        <v>0</v>
      </c>
      <c r="B16" s="449" t="s">
        <v>108</v>
      </c>
      <c r="C16" s="449" t="s">
        <v>108</v>
      </c>
      <c r="D16" s="449" t="s">
        <v>203</v>
      </c>
      <c r="E16" s="449" t="s">
        <v>204</v>
      </c>
      <c r="F16" s="450" t="s">
        <v>205</v>
      </c>
      <c r="G16" s="451" t="s">
        <v>110</v>
      </c>
      <c r="H16" s="451" t="s">
        <v>111</v>
      </c>
      <c r="I16" s="451" t="s">
        <v>113</v>
      </c>
      <c r="J16" s="447"/>
      <c r="K16" s="364"/>
      <c r="O16" s="365"/>
    </row>
    <row r="17" ht="12.75" customHeight="1">
      <c r="A17" s="471" t="s">
        <v>43</v>
      </c>
      <c r="B17" s="472">
        <v>2.0</v>
      </c>
      <c r="C17" s="473">
        <f t="shared" ref="C17:C28" si="4">B17*10</f>
        <v>20</v>
      </c>
      <c r="D17" s="473">
        <v>25.0</v>
      </c>
      <c r="E17" s="473">
        <v>75.0</v>
      </c>
      <c r="F17" s="553">
        <v>140.0</v>
      </c>
      <c r="G17" s="475">
        <f t="shared" ref="G17:G28" si="5">SUM(C17:F17)</f>
        <v>260</v>
      </c>
      <c r="H17" s="475">
        <v>50.0</v>
      </c>
      <c r="I17" s="475">
        <f t="shared" ref="I17:I28" si="6">G17-H17</f>
        <v>210</v>
      </c>
      <c r="J17" s="447"/>
      <c r="K17" s="364"/>
      <c r="O17" s="365"/>
    </row>
    <row r="18" ht="12.75" customHeight="1">
      <c r="A18" s="476" t="s">
        <v>38</v>
      </c>
      <c r="B18" s="477">
        <v>0.0</v>
      </c>
      <c r="C18" s="478">
        <f t="shared" si="4"/>
        <v>0</v>
      </c>
      <c r="D18" s="478">
        <v>0.0</v>
      </c>
      <c r="E18" s="478">
        <v>0.0</v>
      </c>
      <c r="F18" s="479">
        <v>0.0</v>
      </c>
      <c r="G18" s="480">
        <f t="shared" si="5"/>
        <v>0</v>
      </c>
      <c r="H18" s="480">
        <v>50.0</v>
      </c>
      <c r="I18" s="480">
        <f t="shared" si="6"/>
        <v>-50</v>
      </c>
      <c r="J18" s="447"/>
      <c r="K18" s="364"/>
      <c r="O18" s="365"/>
    </row>
    <row r="19" ht="12.75" customHeight="1">
      <c r="A19" s="476" t="s">
        <v>31</v>
      </c>
      <c r="B19" s="477">
        <v>1.0</v>
      </c>
      <c r="C19" s="481">
        <f t="shared" si="4"/>
        <v>10</v>
      </c>
      <c r="D19" s="478">
        <v>0.0</v>
      </c>
      <c r="E19" s="478">
        <v>0.0</v>
      </c>
      <c r="F19" s="479">
        <v>0.0</v>
      </c>
      <c r="G19" s="480">
        <f t="shared" si="5"/>
        <v>10</v>
      </c>
      <c r="H19" s="480">
        <v>50.0</v>
      </c>
      <c r="I19" s="480">
        <f t="shared" si="6"/>
        <v>-40</v>
      </c>
      <c r="J19" s="447"/>
      <c r="K19" s="364"/>
    </row>
    <row r="20" ht="12.75" customHeight="1">
      <c r="A20" s="476" t="s">
        <v>30</v>
      </c>
      <c r="B20" s="477">
        <v>1.0</v>
      </c>
      <c r="C20" s="478">
        <f t="shared" si="4"/>
        <v>10</v>
      </c>
      <c r="D20" s="478">
        <v>0.0</v>
      </c>
      <c r="E20" s="478">
        <v>0.0</v>
      </c>
      <c r="F20" s="479">
        <v>0.0</v>
      </c>
      <c r="G20" s="480">
        <f t="shared" si="5"/>
        <v>10</v>
      </c>
      <c r="H20" s="480">
        <v>50.0</v>
      </c>
      <c r="I20" s="480">
        <f t="shared" si="6"/>
        <v>-40</v>
      </c>
      <c r="J20" s="447"/>
      <c r="K20" s="364"/>
    </row>
    <row r="21" ht="12.75" customHeight="1">
      <c r="A21" s="476" t="s">
        <v>42</v>
      </c>
      <c r="B21" s="477">
        <v>2.0</v>
      </c>
      <c r="C21" s="481">
        <f t="shared" si="4"/>
        <v>20</v>
      </c>
      <c r="D21" s="478">
        <v>25.0</v>
      </c>
      <c r="E21" s="478">
        <v>0.0</v>
      </c>
      <c r="F21" s="479">
        <v>0.0</v>
      </c>
      <c r="G21" s="480">
        <f t="shared" si="5"/>
        <v>45</v>
      </c>
      <c r="H21" s="480">
        <v>50.0</v>
      </c>
      <c r="I21" s="480">
        <f t="shared" si="6"/>
        <v>-5</v>
      </c>
      <c r="J21" s="447"/>
      <c r="K21" s="364"/>
    </row>
    <row r="22" ht="12.75" customHeight="1">
      <c r="A22" s="476" t="s">
        <v>34</v>
      </c>
      <c r="B22" s="477">
        <v>2.0</v>
      </c>
      <c r="C22" s="478">
        <f t="shared" si="4"/>
        <v>20</v>
      </c>
      <c r="D22" s="478">
        <v>25.0</v>
      </c>
      <c r="E22" s="478">
        <v>0.0</v>
      </c>
      <c r="F22" s="479">
        <v>0.0</v>
      </c>
      <c r="G22" s="480">
        <f t="shared" si="5"/>
        <v>45</v>
      </c>
      <c r="H22" s="480">
        <v>50.0</v>
      </c>
      <c r="I22" s="480">
        <f t="shared" si="6"/>
        <v>-5</v>
      </c>
      <c r="J22" s="447"/>
      <c r="K22" s="364"/>
      <c r="O22" s="365"/>
    </row>
    <row r="23" ht="12.75" customHeight="1">
      <c r="A23" s="476" t="s">
        <v>39</v>
      </c>
      <c r="B23" s="477">
        <v>0.0</v>
      </c>
      <c r="C23" s="481">
        <f t="shared" si="4"/>
        <v>0</v>
      </c>
      <c r="D23" s="478">
        <v>0.0</v>
      </c>
      <c r="E23" s="478">
        <v>0.0</v>
      </c>
      <c r="F23" s="479">
        <v>0.0</v>
      </c>
      <c r="G23" s="480">
        <f t="shared" si="5"/>
        <v>0</v>
      </c>
      <c r="H23" s="480">
        <v>50.0</v>
      </c>
      <c r="I23" s="480">
        <f t="shared" si="6"/>
        <v>-50</v>
      </c>
      <c r="J23" s="447"/>
      <c r="K23" s="364"/>
      <c r="O23" s="365"/>
    </row>
    <row r="24" ht="12.75" customHeight="1">
      <c r="A24" s="476" t="s">
        <v>36</v>
      </c>
      <c r="B24" s="477">
        <v>0.0</v>
      </c>
      <c r="C24" s="481">
        <f t="shared" si="4"/>
        <v>0</v>
      </c>
      <c r="D24" s="478">
        <v>0.0</v>
      </c>
      <c r="E24" s="478">
        <v>0.0</v>
      </c>
      <c r="F24" s="479">
        <v>0.0</v>
      </c>
      <c r="G24" s="480">
        <f t="shared" si="5"/>
        <v>0</v>
      </c>
      <c r="H24" s="480">
        <v>50.0</v>
      </c>
      <c r="I24" s="480">
        <f t="shared" si="6"/>
        <v>-50</v>
      </c>
      <c r="J24" s="447"/>
      <c r="K24" s="364"/>
      <c r="O24" s="365"/>
    </row>
    <row r="25" ht="12.75" customHeight="1">
      <c r="A25" s="476" t="s">
        <v>35</v>
      </c>
      <c r="B25" s="477">
        <v>2.0</v>
      </c>
      <c r="C25" s="481">
        <f t="shared" si="4"/>
        <v>20</v>
      </c>
      <c r="D25" s="478">
        <v>0.0</v>
      </c>
      <c r="E25" s="478">
        <v>0.0</v>
      </c>
      <c r="F25" s="479">
        <v>0.0</v>
      </c>
      <c r="G25" s="480">
        <f t="shared" si="5"/>
        <v>20</v>
      </c>
      <c r="H25" s="480">
        <v>50.0</v>
      </c>
      <c r="I25" s="480">
        <f t="shared" si="6"/>
        <v>-30</v>
      </c>
      <c r="J25" s="447"/>
      <c r="K25" s="364"/>
      <c r="O25" s="365"/>
    </row>
    <row r="26" ht="12.75" customHeight="1">
      <c r="A26" s="476" t="s">
        <v>254</v>
      </c>
      <c r="B26" s="477">
        <v>3.0</v>
      </c>
      <c r="C26" s="478">
        <f t="shared" si="4"/>
        <v>30</v>
      </c>
      <c r="D26" s="478">
        <v>25.0</v>
      </c>
      <c r="E26" s="478">
        <v>0.0</v>
      </c>
      <c r="F26" s="479">
        <v>0.0</v>
      </c>
      <c r="G26" s="480">
        <f t="shared" si="5"/>
        <v>55</v>
      </c>
      <c r="H26" s="480">
        <v>50.0</v>
      </c>
      <c r="I26" s="480">
        <f t="shared" si="6"/>
        <v>5</v>
      </c>
      <c r="J26" s="447"/>
      <c r="K26" s="364"/>
      <c r="O26" s="365"/>
    </row>
    <row r="27" ht="12.75" customHeight="1">
      <c r="A27" s="476" t="s">
        <v>116</v>
      </c>
      <c r="B27" s="477">
        <v>1.0</v>
      </c>
      <c r="C27" s="481">
        <f t="shared" si="4"/>
        <v>10</v>
      </c>
      <c r="D27" s="478">
        <v>25.0</v>
      </c>
      <c r="E27" s="478">
        <v>0.0</v>
      </c>
      <c r="F27" s="479">
        <v>0.0</v>
      </c>
      <c r="G27" s="480">
        <f t="shared" si="5"/>
        <v>35</v>
      </c>
      <c r="H27" s="480">
        <v>50.0</v>
      </c>
      <c r="I27" s="480">
        <f t="shared" si="6"/>
        <v>-15</v>
      </c>
      <c r="J27" s="447"/>
      <c r="K27" s="364"/>
      <c r="O27" s="365"/>
    </row>
    <row r="28" ht="12.75" customHeight="1">
      <c r="A28" s="483" t="s">
        <v>37</v>
      </c>
      <c r="B28" s="484">
        <v>2.0</v>
      </c>
      <c r="C28" s="485">
        <f t="shared" si="4"/>
        <v>20</v>
      </c>
      <c r="D28" s="485">
        <v>25.0</v>
      </c>
      <c r="E28" s="485">
        <v>75.0</v>
      </c>
      <c r="F28" s="486">
        <v>0.0</v>
      </c>
      <c r="G28" s="487">
        <f t="shared" si="5"/>
        <v>120</v>
      </c>
      <c r="H28" s="487">
        <v>50.0</v>
      </c>
      <c r="I28" s="487">
        <f t="shared" si="6"/>
        <v>70</v>
      </c>
      <c r="J28" s="447"/>
      <c r="K28" s="364"/>
      <c r="O28" s="365"/>
    </row>
    <row r="29" ht="12.75" customHeight="1">
      <c r="A29" s="447"/>
      <c r="B29" s="447"/>
      <c r="C29" s="447"/>
      <c r="D29" s="447"/>
      <c r="E29" s="447"/>
      <c r="F29" s="447"/>
      <c r="G29" s="447"/>
      <c r="H29" s="447"/>
      <c r="I29" s="447"/>
      <c r="J29" s="447"/>
      <c r="K29" s="364"/>
      <c r="O29" s="365"/>
    </row>
    <row r="30" ht="12.75" customHeight="1">
      <c r="C30" s="389">
        <f t="shared" ref="C30:F30" si="7">SUM(C17:C28)</f>
        <v>160</v>
      </c>
      <c r="D30" s="389">
        <f t="shared" si="7"/>
        <v>150</v>
      </c>
      <c r="E30" s="389">
        <f t="shared" si="7"/>
        <v>150</v>
      </c>
      <c r="F30" s="389">
        <f t="shared" si="7"/>
        <v>140</v>
      </c>
      <c r="G30" s="389"/>
      <c r="H30" s="364"/>
      <c r="J30" s="364"/>
      <c r="K30" s="364"/>
      <c r="O30" s="365"/>
    </row>
    <row r="31" ht="12.75" customHeight="1">
      <c r="A31" s="488" t="s">
        <v>118</v>
      </c>
      <c r="B31" s="489" t="s">
        <v>0</v>
      </c>
      <c r="C31" s="489" t="s">
        <v>119</v>
      </c>
      <c r="D31" s="489" t="s">
        <v>114</v>
      </c>
      <c r="E31" s="490" t="s">
        <v>120</v>
      </c>
      <c r="F31" s="364"/>
      <c r="G31" s="364"/>
      <c r="H31" s="364"/>
      <c r="J31" s="611" t="s">
        <v>123</v>
      </c>
      <c r="K31" s="423" t="s">
        <v>124</v>
      </c>
      <c r="L31" s="612" t="s">
        <v>125</v>
      </c>
      <c r="M31" s="612" t="s">
        <v>126</v>
      </c>
      <c r="N31" s="612" t="s">
        <v>127</v>
      </c>
      <c r="O31" s="612" t="s">
        <v>128</v>
      </c>
      <c r="P31" s="612" t="s">
        <v>129</v>
      </c>
      <c r="Q31" s="613" t="s">
        <v>130</v>
      </c>
    </row>
    <row r="32" ht="12.75" customHeight="1">
      <c r="A32" s="494" t="s">
        <v>121</v>
      </c>
      <c r="B32" s="570" t="s">
        <v>38</v>
      </c>
      <c r="C32" s="571">
        <v>10.0</v>
      </c>
      <c r="D32" s="570" t="s">
        <v>122</v>
      </c>
      <c r="E32" s="572">
        <v>175.0</v>
      </c>
      <c r="F32" s="364"/>
      <c r="G32" s="364"/>
      <c r="H32" s="364"/>
      <c r="J32" s="522">
        <v>1.0</v>
      </c>
      <c r="K32" s="600" t="s">
        <v>209</v>
      </c>
      <c r="L32" s="594">
        <v>10.0</v>
      </c>
      <c r="M32" s="594">
        <v>2.0</v>
      </c>
      <c r="N32" s="594">
        <v>0.0</v>
      </c>
      <c r="O32" s="595">
        <v>0.0</v>
      </c>
      <c r="P32" s="594">
        <v>1819.3</v>
      </c>
      <c r="Q32" s="596">
        <v>1476.0</v>
      </c>
    </row>
    <row r="33" ht="12.75" customHeight="1">
      <c r="A33" s="504" t="s">
        <v>132</v>
      </c>
      <c r="B33" s="577" t="s">
        <v>38</v>
      </c>
      <c r="C33" s="578">
        <v>10.0</v>
      </c>
      <c r="D33" s="577" t="s">
        <v>122</v>
      </c>
      <c r="E33" s="579">
        <v>181.3</v>
      </c>
      <c r="F33" s="364"/>
      <c r="G33" s="364"/>
      <c r="H33" s="364"/>
      <c r="J33" s="527">
        <v>2.0</v>
      </c>
      <c r="K33" s="600" t="s">
        <v>143</v>
      </c>
      <c r="L33" s="594">
        <v>9.0</v>
      </c>
      <c r="M33" s="594">
        <v>3.0</v>
      </c>
      <c r="N33" s="594">
        <v>0.0</v>
      </c>
      <c r="O33" s="598">
        <v>1.0</v>
      </c>
      <c r="P33" s="597">
        <v>1676.0</v>
      </c>
      <c r="Q33" s="599">
        <v>1558.5</v>
      </c>
    </row>
    <row r="34" ht="12.75" customHeight="1">
      <c r="A34" s="504" t="s">
        <v>134</v>
      </c>
      <c r="B34" s="577" t="s">
        <v>37</v>
      </c>
      <c r="C34" s="578">
        <v>10.0</v>
      </c>
      <c r="D34" s="577" t="s">
        <v>122</v>
      </c>
      <c r="E34" s="579">
        <v>176.0</v>
      </c>
      <c r="F34" s="364"/>
      <c r="G34" s="364"/>
      <c r="H34" s="364"/>
      <c r="J34" s="527">
        <v>3.0</v>
      </c>
      <c r="K34" s="593" t="s">
        <v>149</v>
      </c>
      <c r="L34" s="594">
        <v>8.0</v>
      </c>
      <c r="M34" s="594">
        <v>4.0</v>
      </c>
      <c r="N34" s="594">
        <v>0.0</v>
      </c>
      <c r="O34" s="598">
        <v>2.0</v>
      </c>
      <c r="P34" s="597">
        <v>1698.3</v>
      </c>
      <c r="Q34" s="599">
        <v>1563.5</v>
      </c>
    </row>
    <row r="35" ht="12.75" customHeight="1">
      <c r="A35" s="504" t="s">
        <v>136</v>
      </c>
      <c r="B35" s="577" t="s">
        <v>34</v>
      </c>
      <c r="C35" s="578">
        <v>10.0</v>
      </c>
      <c r="D35" s="586" t="s">
        <v>122</v>
      </c>
      <c r="E35" s="579">
        <v>199.3</v>
      </c>
      <c r="F35" s="364" t="s">
        <v>255</v>
      </c>
      <c r="G35" s="364"/>
      <c r="H35" s="364"/>
      <c r="J35" s="527">
        <v>4.0</v>
      </c>
      <c r="K35" s="593" t="s">
        <v>237</v>
      </c>
      <c r="L35" s="594">
        <v>7.0</v>
      </c>
      <c r="M35" s="594">
        <v>5.0</v>
      </c>
      <c r="N35" s="594">
        <v>0.0</v>
      </c>
      <c r="O35" s="598">
        <v>3.0</v>
      </c>
      <c r="P35" s="597">
        <v>1842.8</v>
      </c>
      <c r="Q35" s="599">
        <v>1680.0</v>
      </c>
    </row>
    <row r="36" ht="12.75" customHeight="1">
      <c r="A36" s="504" t="s">
        <v>138</v>
      </c>
      <c r="B36" s="577" t="s">
        <v>38</v>
      </c>
      <c r="C36" s="578">
        <v>10.0</v>
      </c>
      <c r="D36" s="577" t="s">
        <v>122</v>
      </c>
      <c r="E36" s="579">
        <v>178.8</v>
      </c>
      <c r="F36" s="364"/>
      <c r="G36" s="364"/>
      <c r="H36" s="364"/>
      <c r="J36" s="522">
        <v>5.0</v>
      </c>
      <c r="K36" s="593" t="s">
        <v>256</v>
      </c>
      <c r="L36" s="594">
        <v>7.0</v>
      </c>
      <c r="M36" s="594">
        <v>5.0</v>
      </c>
      <c r="N36" s="594">
        <v>0.0</v>
      </c>
      <c r="O36" s="595">
        <v>3.0</v>
      </c>
      <c r="P36" s="597">
        <v>1642.5</v>
      </c>
      <c r="Q36" s="596">
        <v>1370.3</v>
      </c>
    </row>
    <row r="37" ht="12.75" customHeight="1">
      <c r="A37" s="504" t="s">
        <v>140</v>
      </c>
      <c r="B37" s="577" t="s">
        <v>38</v>
      </c>
      <c r="C37" s="578">
        <v>10.0</v>
      </c>
      <c r="D37" s="577" t="s">
        <v>122</v>
      </c>
      <c r="E37" s="579">
        <v>172.0</v>
      </c>
      <c r="F37" s="364"/>
      <c r="G37" s="364"/>
      <c r="H37" s="364"/>
      <c r="J37" s="614">
        <v>6.0</v>
      </c>
      <c r="K37" s="601" t="s">
        <v>257</v>
      </c>
      <c r="L37" s="602">
        <v>7.0</v>
      </c>
      <c r="M37" s="602">
        <v>5.0</v>
      </c>
      <c r="N37" s="602">
        <v>0.0</v>
      </c>
      <c r="O37" s="603">
        <v>3.0</v>
      </c>
      <c r="P37" s="602">
        <v>1745.8</v>
      </c>
      <c r="Q37" s="604">
        <v>1793.5</v>
      </c>
    </row>
    <row r="38" ht="12.75" customHeight="1">
      <c r="A38" s="504" t="s">
        <v>142</v>
      </c>
      <c r="B38" s="577" t="s">
        <v>43</v>
      </c>
      <c r="C38" s="578">
        <v>10.0</v>
      </c>
      <c r="D38" s="577" t="s">
        <v>122</v>
      </c>
      <c r="E38" s="579">
        <v>180.0</v>
      </c>
      <c r="F38" s="364"/>
      <c r="G38" s="364"/>
      <c r="H38" s="364"/>
      <c r="J38" s="522">
        <v>7.0</v>
      </c>
      <c r="K38" s="593" t="s">
        <v>211</v>
      </c>
      <c r="L38" s="594">
        <v>5.0</v>
      </c>
      <c r="M38" s="594">
        <v>7.0</v>
      </c>
      <c r="N38" s="594">
        <v>0.0</v>
      </c>
      <c r="O38" s="595">
        <v>5.0</v>
      </c>
      <c r="P38" s="594">
        <v>1683.0</v>
      </c>
      <c r="Q38" s="596">
        <v>1800.5</v>
      </c>
    </row>
    <row r="39" ht="12.75" customHeight="1">
      <c r="A39" s="504" t="s">
        <v>144</v>
      </c>
      <c r="B39" s="577" t="s">
        <v>36</v>
      </c>
      <c r="C39" s="578">
        <v>10.0</v>
      </c>
      <c r="D39" s="577" t="s">
        <v>122</v>
      </c>
      <c r="E39" s="579">
        <v>181.0</v>
      </c>
      <c r="F39" s="364" t="s">
        <v>255</v>
      </c>
      <c r="G39" s="364"/>
      <c r="H39" s="364"/>
      <c r="J39" s="527">
        <v>8.0</v>
      </c>
      <c r="K39" s="593" t="s">
        <v>187</v>
      </c>
      <c r="L39" s="594">
        <v>5.0</v>
      </c>
      <c r="M39" s="594">
        <v>7.0</v>
      </c>
      <c r="N39" s="597">
        <v>0.0</v>
      </c>
      <c r="O39" s="598">
        <v>5.0</v>
      </c>
      <c r="P39" s="597">
        <v>1528.0</v>
      </c>
      <c r="Q39" s="599">
        <v>1593.0</v>
      </c>
    </row>
    <row r="40" ht="12.75" customHeight="1">
      <c r="A40" s="504" t="s">
        <v>146</v>
      </c>
      <c r="B40" s="577" t="s">
        <v>31</v>
      </c>
      <c r="C40" s="578">
        <v>10.0</v>
      </c>
      <c r="D40" s="577" t="s">
        <v>122</v>
      </c>
      <c r="E40" s="579">
        <v>159.5</v>
      </c>
      <c r="F40" s="364"/>
      <c r="G40" s="364"/>
      <c r="H40" s="364"/>
      <c r="J40" s="522">
        <v>9.0</v>
      </c>
      <c r="K40" s="600" t="s">
        <v>258</v>
      </c>
      <c r="L40" s="594">
        <v>4.0</v>
      </c>
      <c r="M40" s="594">
        <v>8.0</v>
      </c>
      <c r="N40" s="597">
        <v>0.0</v>
      </c>
      <c r="O40" s="595">
        <v>6.0</v>
      </c>
      <c r="P40" s="594">
        <v>1568.8</v>
      </c>
      <c r="Q40" s="599">
        <v>1796.8</v>
      </c>
    </row>
    <row r="41" ht="12.75" customHeight="1">
      <c r="A41" s="504" t="s">
        <v>148</v>
      </c>
      <c r="B41" s="577" t="s">
        <v>30</v>
      </c>
      <c r="C41" s="578">
        <v>10.0</v>
      </c>
      <c r="D41" s="577" t="s">
        <v>122</v>
      </c>
      <c r="E41" s="579">
        <v>163.5</v>
      </c>
      <c r="F41" s="364"/>
      <c r="G41" s="364"/>
      <c r="H41" s="364"/>
      <c r="J41" s="527">
        <v>10.0</v>
      </c>
      <c r="K41" s="600" t="s">
        <v>151</v>
      </c>
      <c r="L41" s="594">
        <v>4.0</v>
      </c>
      <c r="M41" s="594">
        <v>8.0</v>
      </c>
      <c r="N41" s="597">
        <v>0.0</v>
      </c>
      <c r="O41" s="598">
        <v>6.0</v>
      </c>
      <c r="P41" s="597">
        <v>1487.3</v>
      </c>
      <c r="Q41" s="599">
        <v>1713.0</v>
      </c>
    </row>
    <row r="42" ht="12.75" customHeight="1">
      <c r="A42" s="504" t="s">
        <v>150</v>
      </c>
      <c r="B42" s="577" t="s">
        <v>43</v>
      </c>
      <c r="C42" s="578">
        <v>10.0</v>
      </c>
      <c r="D42" s="577" t="s">
        <v>122</v>
      </c>
      <c r="E42" s="579">
        <v>150.0</v>
      </c>
      <c r="F42" s="364"/>
      <c r="G42" s="364"/>
      <c r="H42" s="364"/>
      <c r="J42" s="532">
        <v>11.0</v>
      </c>
      <c r="K42" s="600" t="s">
        <v>184</v>
      </c>
      <c r="L42" s="594">
        <v>3.0</v>
      </c>
      <c r="M42" s="594">
        <v>9.0</v>
      </c>
      <c r="N42" s="597">
        <v>0.0</v>
      </c>
      <c r="O42" s="598">
        <v>7.0</v>
      </c>
      <c r="P42" s="597">
        <v>1454.0</v>
      </c>
      <c r="Q42" s="599">
        <v>1638.5</v>
      </c>
    </row>
    <row r="43" ht="12.75" customHeight="1">
      <c r="A43" s="504" t="s">
        <v>152</v>
      </c>
      <c r="B43" s="577" t="s">
        <v>30</v>
      </c>
      <c r="C43" s="578">
        <v>10.0</v>
      </c>
      <c r="D43" s="577" t="s">
        <v>122</v>
      </c>
      <c r="E43" s="579">
        <v>159.0</v>
      </c>
      <c r="F43" s="364"/>
      <c r="G43" s="364"/>
      <c r="H43" s="364"/>
      <c r="J43" s="533">
        <v>12.0</v>
      </c>
      <c r="K43" s="601" t="s">
        <v>259</v>
      </c>
      <c r="L43" s="602">
        <v>3.0</v>
      </c>
      <c r="M43" s="602">
        <v>9.0</v>
      </c>
      <c r="N43" s="602">
        <v>0.0</v>
      </c>
      <c r="O43" s="603">
        <v>7.0</v>
      </c>
      <c r="P43" s="602">
        <v>1522.8</v>
      </c>
      <c r="Q43" s="604">
        <v>1684.8</v>
      </c>
    </row>
    <row r="44" ht="12.75" customHeight="1">
      <c r="A44" s="538" t="s">
        <v>154</v>
      </c>
      <c r="B44" s="605" t="s">
        <v>39</v>
      </c>
      <c r="C44" s="606">
        <v>10.0</v>
      </c>
      <c r="D44" s="605" t="s">
        <v>122</v>
      </c>
      <c r="E44" s="607">
        <v>165.5</v>
      </c>
      <c r="F44" s="364"/>
      <c r="G44" s="364"/>
      <c r="H44" s="364"/>
      <c r="J44" s="364"/>
      <c r="K44" s="364"/>
      <c r="O44" s="365"/>
    </row>
    <row r="45" ht="12.75" customHeight="1">
      <c r="A45" s="542" t="s">
        <v>156</v>
      </c>
      <c r="B45" s="608" t="s">
        <v>43</v>
      </c>
      <c r="C45" s="609">
        <v>10.0</v>
      </c>
      <c r="D45" s="608" t="s">
        <v>122</v>
      </c>
      <c r="E45" s="610">
        <v>132.0</v>
      </c>
      <c r="F45" s="364"/>
      <c r="G45" s="364"/>
      <c r="H45" s="364"/>
      <c r="J45" s="364"/>
      <c r="K45" s="364"/>
      <c r="O45" s="365"/>
    </row>
    <row r="46" ht="12.75" customHeight="1">
      <c r="A46" s="504" t="s">
        <v>219</v>
      </c>
      <c r="B46" s="577" t="s">
        <v>38</v>
      </c>
      <c r="C46" s="578">
        <v>10.0</v>
      </c>
      <c r="D46" s="577" t="s">
        <v>122</v>
      </c>
      <c r="E46" s="579">
        <v>180.3</v>
      </c>
      <c r="F46" s="364"/>
      <c r="G46" s="364"/>
      <c r="H46" s="364"/>
      <c r="J46" s="364"/>
      <c r="K46" s="364"/>
      <c r="O46" s="365"/>
    </row>
    <row r="47" ht="12.75" customHeight="1">
      <c r="A47" s="504" t="s">
        <v>220</v>
      </c>
      <c r="B47" s="577"/>
      <c r="C47" s="578"/>
      <c r="D47" s="577"/>
      <c r="E47" s="579"/>
      <c r="F47" s="364"/>
      <c r="G47" s="364"/>
      <c r="H47" s="546"/>
      <c r="J47" s="364"/>
      <c r="K47" s="364"/>
      <c r="O47" s="365"/>
    </row>
    <row r="48" ht="12.75" customHeight="1">
      <c r="A48" s="504" t="s">
        <v>221</v>
      </c>
      <c r="B48" s="577" t="s">
        <v>39</v>
      </c>
      <c r="C48" s="578">
        <v>25.0</v>
      </c>
      <c r="D48" s="577" t="s">
        <v>122</v>
      </c>
      <c r="E48" s="579"/>
      <c r="F48" s="364"/>
      <c r="G48" s="364"/>
      <c r="H48" s="546"/>
      <c r="I48" s="546"/>
      <c r="J48" s="364"/>
      <c r="K48" s="364"/>
      <c r="O48" s="365"/>
    </row>
    <row r="49" ht="12.75" customHeight="1">
      <c r="A49" s="504" t="s">
        <v>222</v>
      </c>
      <c r="B49" s="577" t="s">
        <v>38</v>
      </c>
      <c r="C49" s="578">
        <v>25.0</v>
      </c>
      <c r="D49" s="577" t="s">
        <v>122</v>
      </c>
      <c r="E49" s="579"/>
      <c r="F49" s="364"/>
      <c r="G49" s="364"/>
      <c r="H49" s="364"/>
      <c r="I49" s="546"/>
      <c r="J49" s="364"/>
      <c r="K49" s="364"/>
      <c r="O49" s="365"/>
    </row>
    <row r="50" ht="12.75" customHeight="1">
      <c r="A50" s="504" t="s">
        <v>223</v>
      </c>
      <c r="B50" s="577" t="s">
        <v>36</v>
      </c>
      <c r="C50" s="578">
        <v>25.0</v>
      </c>
      <c r="D50" s="577" t="s">
        <v>122</v>
      </c>
      <c r="E50" s="579"/>
      <c r="F50" s="364" t="s">
        <v>255</v>
      </c>
      <c r="G50" s="364"/>
      <c r="H50" s="364"/>
      <c r="I50" s="546"/>
      <c r="J50" s="364"/>
      <c r="K50" s="364"/>
      <c r="O50" s="365"/>
    </row>
    <row r="51" ht="12.75" customHeight="1">
      <c r="A51" s="504" t="s">
        <v>224</v>
      </c>
      <c r="B51" s="577" t="s">
        <v>34</v>
      </c>
      <c r="C51" s="578">
        <v>25.0</v>
      </c>
      <c r="D51" s="577" t="s">
        <v>122</v>
      </c>
      <c r="E51" s="579"/>
      <c r="F51" s="364" t="s">
        <v>255</v>
      </c>
      <c r="G51" s="364"/>
      <c r="H51" s="546"/>
      <c r="J51" s="364"/>
      <c r="K51" s="364"/>
      <c r="O51" s="365"/>
    </row>
    <row r="52" ht="12.75" customHeight="1">
      <c r="A52" s="504" t="s">
        <v>225</v>
      </c>
      <c r="B52" s="577" t="s">
        <v>30</v>
      </c>
      <c r="C52" s="578">
        <v>25.0</v>
      </c>
      <c r="D52" s="577" t="s">
        <v>122</v>
      </c>
      <c r="E52" s="579"/>
      <c r="F52" s="364"/>
      <c r="G52" s="364"/>
      <c r="H52" s="364"/>
      <c r="J52" s="364"/>
      <c r="K52" s="364"/>
      <c r="O52" s="365"/>
    </row>
    <row r="53" ht="12.75" customHeight="1">
      <c r="A53" s="504" t="s">
        <v>226</v>
      </c>
      <c r="B53" s="577" t="s">
        <v>43</v>
      </c>
      <c r="C53" s="578">
        <v>25.0</v>
      </c>
      <c r="D53" s="577" t="s">
        <v>122</v>
      </c>
      <c r="E53" s="579"/>
      <c r="F53" s="364"/>
      <c r="G53" s="364"/>
      <c r="H53" s="364"/>
      <c r="J53" s="364"/>
      <c r="K53" s="364"/>
      <c r="O53" s="365"/>
    </row>
    <row r="54" ht="12.75" customHeight="1">
      <c r="A54" s="504" t="s">
        <v>227</v>
      </c>
      <c r="B54" s="577" t="s">
        <v>30</v>
      </c>
      <c r="C54" s="578">
        <v>75.0</v>
      </c>
      <c r="D54" s="577" t="s">
        <v>122</v>
      </c>
      <c r="E54" s="579"/>
      <c r="F54" s="364"/>
      <c r="G54" s="364"/>
      <c r="H54" s="364"/>
      <c r="J54" s="364"/>
      <c r="K54" s="364"/>
      <c r="O54" s="365"/>
    </row>
    <row r="55" ht="12.75" customHeight="1">
      <c r="A55" s="504" t="s">
        <v>228</v>
      </c>
      <c r="B55" s="577" t="s">
        <v>38</v>
      </c>
      <c r="C55" s="578">
        <v>75.0</v>
      </c>
      <c r="D55" s="577" t="s">
        <v>122</v>
      </c>
      <c r="E55" s="579"/>
      <c r="F55" s="364"/>
      <c r="G55" s="364"/>
      <c r="H55" s="364"/>
      <c r="J55" s="364"/>
      <c r="K55" s="364"/>
      <c r="O55" s="365"/>
    </row>
    <row r="56" ht="12.75" customHeight="1">
      <c r="A56" s="538" t="s">
        <v>79</v>
      </c>
      <c r="B56" s="605"/>
      <c r="C56" s="606"/>
      <c r="D56" s="605"/>
      <c r="E56" s="607"/>
      <c r="F56" s="364"/>
      <c r="G56" s="364"/>
      <c r="H56" s="364"/>
      <c r="J56" s="364"/>
      <c r="K56" s="364"/>
      <c r="O56" s="365"/>
    </row>
    <row r="57" ht="12.75" customHeight="1">
      <c r="C57" s="549">
        <f>SUM(C32:C56)</f>
        <v>450</v>
      </c>
      <c r="E57" s="364"/>
      <c r="F57" s="364"/>
      <c r="G57" s="364"/>
      <c r="H57" s="364"/>
      <c r="J57" s="364"/>
      <c r="K57" s="364"/>
      <c r="O57" s="365"/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N2:O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2" width="7.0"/>
    <col customWidth="1" min="3" max="3" width="10.88"/>
    <col customWidth="1" min="4" max="4" width="7.75"/>
    <col customWidth="1" min="5" max="5" width="9.25"/>
    <col customWidth="1" min="6" max="6" width="6.0"/>
    <col customWidth="1" min="7" max="7" width="7.38"/>
    <col customWidth="1" min="8" max="8" width="8.63"/>
    <col customWidth="1" min="9" max="9" width="7.0"/>
    <col customWidth="1" min="10" max="10" width="5.13"/>
    <col customWidth="1" min="11" max="11" width="17.88"/>
    <col customWidth="1" min="12" max="17" width="7.0"/>
    <col customWidth="1" min="18" max="26" width="11.0"/>
  </cols>
  <sheetData>
    <row r="1" ht="13.5" customHeight="1">
      <c r="A1" s="445"/>
      <c r="B1" s="445"/>
      <c r="C1" s="446" t="s">
        <v>202</v>
      </c>
      <c r="D1" s="445"/>
      <c r="E1" s="445"/>
      <c r="F1" s="445"/>
      <c r="G1" s="445"/>
      <c r="H1" s="445"/>
      <c r="I1" s="445"/>
      <c r="J1" s="447"/>
      <c r="K1" s="364"/>
      <c r="O1" s="365"/>
    </row>
    <row r="2" ht="26.25" customHeight="1">
      <c r="A2" s="448" t="s">
        <v>0</v>
      </c>
      <c r="B2" s="449" t="s">
        <v>108</v>
      </c>
      <c r="C2" s="449" t="s">
        <v>108</v>
      </c>
      <c r="D2" s="449" t="s">
        <v>203</v>
      </c>
      <c r="E2" s="449" t="s">
        <v>204</v>
      </c>
      <c r="F2" s="450" t="s">
        <v>205</v>
      </c>
      <c r="G2" s="451" t="s">
        <v>110</v>
      </c>
      <c r="H2" s="451" t="s">
        <v>111</v>
      </c>
      <c r="I2" s="451" t="s">
        <v>113</v>
      </c>
      <c r="J2" s="447"/>
      <c r="K2" s="364"/>
      <c r="N2" s="552" t="s">
        <v>252</v>
      </c>
      <c r="O2" s="16"/>
      <c r="P2" s="552" t="s">
        <v>229</v>
      </c>
      <c r="Q2" s="16"/>
    </row>
    <row r="3" ht="12.75" customHeight="1">
      <c r="A3" s="471" t="s">
        <v>43</v>
      </c>
      <c r="B3" s="472">
        <v>0.0</v>
      </c>
      <c r="C3" s="473">
        <f t="shared" ref="C3:C14" si="1">10*B3</f>
        <v>0</v>
      </c>
      <c r="D3" s="473">
        <v>0.0</v>
      </c>
      <c r="E3" s="473">
        <v>0.0</v>
      </c>
      <c r="F3" s="553">
        <v>0.0</v>
      </c>
      <c r="G3" s="475">
        <f t="shared" ref="G3:G14" si="2">SUM(C3:F3)</f>
        <v>0</v>
      </c>
      <c r="H3" s="475">
        <v>40.0</v>
      </c>
      <c r="I3" s="475">
        <f t="shared" ref="I3:I14" si="3">G3-H3</f>
        <v>-40</v>
      </c>
      <c r="J3" s="447"/>
      <c r="K3" s="364"/>
      <c r="N3" s="615">
        <v>40.0</v>
      </c>
      <c r="O3" s="616" t="s">
        <v>36</v>
      </c>
      <c r="P3" s="615">
        <v>40.0</v>
      </c>
      <c r="Q3" s="617" t="s">
        <v>42</v>
      </c>
    </row>
    <row r="4" ht="13.5" customHeight="1">
      <c r="A4" s="476" t="s">
        <v>38</v>
      </c>
      <c r="B4" s="477">
        <v>3.0</v>
      </c>
      <c r="C4" s="481">
        <f t="shared" si="1"/>
        <v>30</v>
      </c>
      <c r="D4" s="478">
        <v>20.0</v>
      </c>
      <c r="E4" s="478">
        <v>50.0</v>
      </c>
      <c r="F4" s="479">
        <v>0.0</v>
      </c>
      <c r="G4" s="480">
        <f t="shared" si="2"/>
        <v>100</v>
      </c>
      <c r="H4" s="480">
        <v>40.0</v>
      </c>
      <c r="I4" s="480">
        <f t="shared" si="3"/>
        <v>60</v>
      </c>
      <c r="J4" s="447"/>
      <c r="K4" s="364"/>
      <c r="L4" s="389">
        <f>SUM(H3:H14)</f>
        <v>480</v>
      </c>
      <c r="N4" s="618">
        <v>40.0</v>
      </c>
      <c r="O4" s="619" t="s">
        <v>116</v>
      </c>
      <c r="P4" s="618">
        <v>40.0</v>
      </c>
      <c r="Q4" s="620" t="s">
        <v>30</v>
      </c>
    </row>
    <row r="5" ht="13.5" customHeight="1">
      <c r="A5" s="476" t="s">
        <v>31</v>
      </c>
      <c r="B5" s="477">
        <v>0.0</v>
      </c>
      <c r="C5" s="481">
        <f t="shared" si="1"/>
        <v>0</v>
      </c>
      <c r="D5" s="478">
        <v>0.0</v>
      </c>
      <c r="E5" s="478">
        <v>0.0</v>
      </c>
      <c r="F5" s="479">
        <v>0.0</v>
      </c>
      <c r="G5" s="480">
        <f t="shared" si="2"/>
        <v>0</v>
      </c>
      <c r="H5" s="480">
        <v>40.0</v>
      </c>
      <c r="I5" s="480">
        <f t="shared" si="3"/>
        <v>-40</v>
      </c>
      <c r="J5" s="447"/>
      <c r="K5" s="364"/>
      <c r="N5" s="563">
        <f>SUM(N3:N4)</f>
        <v>80</v>
      </c>
      <c r="O5" s="564" t="s">
        <v>66</v>
      </c>
      <c r="P5" s="618">
        <v>40.0</v>
      </c>
      <c r="Q5" s="620" t="s">
        <v>39</v>
      </c>
    </row>
    <row r="6" ht="12.75" customHeight="1">
      <c r="A6" s="476" t="s">
        <v>30</v>
      </c>
      <c r="B6" s="477">
        <v>3.0</v>
      </c>
      <c r="C6" s="481">
        <f t="shared" si="1"/>
        <v>30</v>
      </c>
      <c r="D6" s="478">
        <v>20.0</v>
      </c>
      <c r="E6" s="478">
        <v>50.0</v>
      </c>
      <c r="F6" s="479">
        <v>100.0</v>
      </c>
      <c r="G6" s="480">
        <f t="shared" si="2"/>
        <v>200</v>
      </c>
      <c r="H6" s="480">
        <v>40.0</v>
      </c>
      <c r="I6" s="480">
        <f t="shared" si="3"/>
        <v>160</v>
      </c>
      <c r="J6" s="447"/>
      <c r="K6" s="364"/>
      <c r="P6" s="618">
        <v>40.0</v>
      </c>
      <c r="Q6" s="620" t="s">
        <v>37</v>
      </c>
    </row>
    <row r="7" ht="12.75" customHeight="1">
      <c r="A7" s="476" t="s">
        <v>42</v>
      </c>
      <c r="B7" s="477">
        <v>1.0</v>
      </c>
      <c r="C7" s="481">
        <f t="shared" si="1"/>
        <v>10</v>
      </c>
      <c r="D7" s="478">
        <v>0.0</v>
      </c>
      <c r="E7" s="478">
        <v>0.0</v>
      </c>
      <c r="F7" s="479">
        <v>0.0</v>
      </c>
      <c r="G7" s="480">
        <f t="shared" si="2"/>
        <v>10</v>
      </c>
      <c r="H7" s="480">
        <v>40.0</v>
      </c>
      <c r="I7" s="480">
        <f t="shared" si="3"/>
        <v>-30</v>
      </c>
      <c r="J7" s="447"/>
      <c r="K7" s="364"/>
      <c r="P7" s="618">
        <v>40.0</v>
      </c>
      <c r="Q7" s="620" t="s">
        <v>38</v>
      </c>
    </row>
    <row r="8" ht="12.75" customHeight="1">
      <c r="A8" s="476" t="s">
        <v>34</v>
      </c>
      <c r="B8" s="477">
        <v>0.0</v>
      </c>
      <c r="C8" s="481">
        <f t="shared" si="1"/>
        <v>0</v>
      </c>
      <c r="D8" s="478">
        <v>20.0</v>
      </c>
      <c r="E8" s="478">
        <v>0.0</v>
      </c>
      <c r="F8" s="479">
        <v>0.0</v>
      </c>
      <c r="G8" s="480">
        <f t="shared" si="2"/>
        <v>20</v>
      </c>
      <c r="H8" s="480">
        <v>40.0</v>
      </c>
      <c r="I8" s="480">
        <f t="shared" si="3"/>
        <v>-20</v>
      </c>
      <c r="J8" s="447"/>
      <c r="K8" s="364"/>
      <c r="P8" s="618">
        <v>40.0</v>
      </c>
      <c r="Q8" s="620" t="s">
        <v>253</v>
      </c>
    </row>
    <row r="9" ht="12.75" customHeight="1">
      <c r="A9" s="476" t="s">
        <v>39</v>
      </c>
      <c r="B9" s="477">
        <v>3.0</v>
      </c>
      <c r="C9" s="481">
        <f t="shared" si="1"/>
        <v>30</v>
      </c>
      <c r="D9" s="478">
        <v>20.0</v>
      </c>
      <c r="E9" s="478">
        <v>0.0</v>
      </c>
      <c r="F9" s="479">
        <v>0.0</v>
      </c>
      <c r="G9" s="480">
        <f t="shared" si="2"/>
        <v>50</v>
      </c>
      <c r="H9" s="480">
        <v>40.0</v>
      </c>
      <c r="I9" s="480">
        <f t="shared" si="3"/>
        <v>10</v>
      </c>
      <c r="J9" s="447"/>
      <c r="K9" s="364"/>
      <c r="O9" s="365"/>
      <c r="P9" s="618">
        <v>40.0</v>
      </c>
      <c r="Q9" s="620" t="s">
        <v>35</v>
      </c>
    </row>
    <row r="10" ht="12.75" customHeight="1">
      <c r="A10" s="476" t="s">
        <v>36</v>
      </c>
      <c r="B10" s="477">
        <v>1.0</v>
      </c>
      <c r="C10" s="481">
        <f t="shared" si="1"/>
        <v>10</v>
      </c>
      <c r="D10" s="478">
        <v>20.0</v>
      </c>
      <c r="E10" s="478">
        <v>0.0</v>
      </c>
      <c r="F10" s="479">
        <v>0.0</v>
      </c>
      <c r="G10" s="480">
        <f t="shared" si="2"/>
        <v>30</v>
      </c>
      <c r="H10" s="480">
        <v>40.0</v>
      </c>
      <c r="I10" s="480">
        <f t="shared" si="3"/>
        <v>-10</v>
      </c>
      <c r="J10" s="447"/>
      <c r="K10" s="364"/>
      <c r="O10" s="365"/>
      <c r="P10" s="621">
        <v>40.0</v>
      </c>
      <c r="Q10" s="620" t="s">
        <v>43</v>
      </c>
    </row>
    <row r="11" ht="12.75" customHeight="1">
      <c r="A11" s="476" t="s">
        <v>35</v>
      </c>
      <c r="B11" s="477">
        <v>3.0</v>
      </c>
      <c r="C11" s="481">
        <f t="shared" si="1"/>
        <v>30</v>
      </c>
      <c r="D11" s="478">
        <v>0.0</v>
      </c>
      <c r="E11" s="478">
        <v>0.0</v>
      </c>
      <c r="F11" s="479">
        <v>0.0</v>
      </c>
      <c r="G11" s="480">
        <f t="shared" si="2"/>
        <v>30</v>
      </c>
      <c r="H11" s="480">
        <v>40.0</v>
      </c>
      <c r="I11" s="480">
        <f t="shared" si="3"/>
        <v>-10</v>
      </c>
      <c r="J11" s="447"/>
      <c r="K11" s="364"/>
      <c r="O11" s="365"/>
      <c r="P11" s="618">
        <v>40.0</v>
      </c>
      <c r="Q11" s="620" t="s">
        <v>34</v>
      </c>
    </row>
    <row r="12" ht="13.5" customHeight="1">
      <c r="A12" s="476" t="s">
        <v>254</v>
      </c>
      <c r="B12" s="477">
        <v>1.0</v>
      </c>
      <c r="C12" s="481">
        <f t="shared" si="1"/>
        <v>10</v>
      </c>
      <c r="D12" s="478">
        <v>0.0</v>
      </c>
      <c r="E12" s="478">
        <v>0.0</v>
      </c>
      <c r="F12" s="479">
        <v>0.0</v>
      </c>
      <c r="G12" s="480">
        <f t="shared" si="2"/>
        <v>10</v>
      </c>
      <c r="H12" s="480">
        <v>40.0</v>
      </c>
      <c r="I12" s="480">
        <f t="shared" si="3"/>
        <v>-30</v>
      </c>
      <c r="J12" s="447"/>
      <c r="K12" s="364"/>
      <c r="O12" s="365"/>
      <c r="P12" s="622">
        <v>40.0</v>
      </c>
      <c r="Q12" s="623" t="s">
        <v>31</v>
      </c>
    </row>
    <row r="13" ht="13.5" customHeight="1">
      <c r="A13" s="476" t="s">
        <v>116</v>
      </c>
      <c r="B13" s="477">
        <v>0.0</v>
      </c>
      <c r="C13" s="481">
        <f t="shared" si="1"/>
        <v>0</v>
      </c>
      <c r="D13" s="478">
        <v>20.0</v>
      </c>
      <c r="E13" s="478">
        <v>0.0</v>
      </c>
      <c r="F13" s="479">
        <v>0.0</v>
      </c>
      <c r="G13" s="480">
        <f t="shared" si="2"/>
        <v>20</v>
      </c>
      <c r="H13" s="480">
        <v>40.0</v>
      </c>
      <c r="I13" s="480">
        <f t="shared" si="3"/>
        <v>-20</v>
      </c>
      <c r="J13" s="447"/>
      <c r="K13" s="364"/>
      <c r="O13" s="365"/>
      <c r="P13" s="563">
        <f>SUM(P3:P12)</f>
        <v>400</v>
      </c>
      <c r="Q13" s="568" t="s">
        <v>66</v>
      </c>
    </row>
    <row r="14" ht="13.5" customHeight="1">
      <c r="A14" s="483" t="s">
        <v>37</v>
      </c>
      <c r="B14" s="484">
        <v>1.0</v>
      </c>
      <c r="C14" s="485">
        <f t="shared" si="1"/>
        <v>10</v>
      </c>
      <c r="D14" s="485">
        <v>0.0</v>
      </c>
      <c r="E14" s="485">
        <v>0.0</v>
      </c>
      <c r="F14" s="486">
        <v>0.0</v>
      </c>
      <c r="G14" s="487">
        <f t="shared" si="2"/>
        <v>10</v>
      </c>
      <c r="H14" s="487">
        <v>40.0</v>
      </c>
      <c r="I14" s="487">
        <f t="shared" si="3"/>
        <v>-30</v>
      </c>
      <c r="J14" s="447"/>
      <c r="K14" s="364"/>
      <c r="O14" s="365"/>
    </row>
    <row r="15" ht="13.5" customHeight="1">
      <c r="A15" s="445"/>
      <c r="B15" s="445"/>
      <c r="C15" s="446" t="s">
        <v>208</v>
      </c>
      <c r="D15" s="445"/>
      <c r="E15" s="445"/>
      <c r="F15" s="445"/>
      <c r="G15" s="445"/>
      <c r="H15" s="445"/>
      <c r="I15" s="445"/>
      <c r="J15" s="447"/>
      <c r="K15" s="364"/>
      <c r="O15" s="365"/>
    </row>
    <row r="16" ht="26.25" customHeight="1">
      <c r="A16" s="448" t="s">
        <v>0</v>
      </c>
      <c r="B16" s="449" t="s">
        <v>108</v>
      </c>
      <c r="C16" s="449" t="s">
        <v>108</v>
      </c>
      <c r="D16" s="449" t="s">
        <v>203</v>
      </c>
      <c r="E16" s="449" t="s">
        <v>204</v>
      </c>
      <c r="F16" s="450" t="s">
        <v>205</v>
      </c>
      <c r="G16" s="451" t="s">
        <v>110</v>
      </c>
      <c r="H16" s="451" t="s">
        <v>111</v>
      </c>
      <c r="I16" s="451" t="s">
        <v>113</v>
      </c>
      <c r="J16" s="447"/>
      <c r="K16" s="364"/>
      <c r="O16" s="365"/>
    </row>
    <row r="17" ht="12.75" customHeight="1">
      <c r="A17" s="471" t="s">
        <v>43</v>
      </c>
      <c r="B17" s="472">
        <v>2.0</v>
      </c>
      <c r="C17" s="473">
        <f t="shared" ref="C17:C28" si="4">B17*10</f>
        <v>20</v>
      </c>
      <c r="D17" s="473">
        <v>20.0</v>
      </c>
      <c r="E17" s="473">
        <v>50.0</v>
      </c>
      <c r="F17" s="553">
        <v>100.0</v>
      </c>
      <c r="G17" s="475">
        <f t="shared" ref="G17:G28" si="5">SUM(C17:F17)</f>
        <v>190</v>
      </c>
      <c r="H17" s="475">
        <v>40.0</v>
      </c>
      <c r="I17" s="475">
        <f t="shared" ref="I17:I28" si="6">G17-H17</f>
        <v>150</v>
      </c>
      <c r="J17" s="447"/>
      <c r="K17" s="364"/>
      <c r="O17" s="365"/>
    </row>
    <row r="18" ht="12.75" customHeight="1">
      <c r="A18" s="476" t="s">
        <v>38</v>
      </c>
      <c r="B18" s="477">
        <v>0.0</v>
      </c>
      <c r="C18" s="478">
        <f t="shared" si="4"/>
        <v>0</v>
      </c>
      <c r="D18" s="478">
        <v>0.0</v>
      </c>
      <c r="E18" s="478">
        <v>0.0</v>
      </c>
      <c r="F18" s="479">
        <v>0.0</v>
      </c>
      <c r="G18" s="480">
        <f t="shared" si="5"/>
        <v>0</v>
      </c>
      <c r="H18" s="480">
        <v>40.0</v>
      </c>
      <c r="I18" s="480">
        <f t="shared" si="6"/>
        <v>-40</v>
      </c>
      <c r="J18" s="447"/>
      <c r="K18" s="364"/>
      <c r="O18" s="365"/>
    </row>
    <row r="19" ht="12.75" customHeight="1">
      <c r="A19" s="476" t="s">
        <v>31</v>
      </c>
      <c r="B19" s="477">
        <v>1.0</v>
      </c>
      <c r="C19" s="481">
        <f t="shared" si="4"/>
        <v>10</v>
      </c>
      <c r="D19" s="478">
        <v>0.0</v>
      </c>
      <c r="E19" s="478">
        <v>0.0</v>
      </c>
      <c r="F19" s="479">
        <v>0.0</v>
      </c>
      <c r="G19" s="480">
        <f t="shared" si="5"/>
        <v>10</v>
      </c>
      <c r="H19" s="480">
        <v>40.0</v>
      </c>
      <c r="I19" s="480">
        <f t="shared" si="6"/>
        <v>-30</v>
      </c>
      <c r="J19" s="447"/>
      <c r="K19" s="364"/>
    </row>
    <row r="20" ht="12.75" customHeight="1">
      <c r="A20" s="476" t="s">
        <v>30</v>
      </c>
      <c r="B20" s="477">
        <v>1.0</v>
      </c>
      <c r="C20" s="478">
        <f t="shared" si="4"/>
        <v>10</v>
      </c>
      <c r="D20" s="478">
        <v>0.0</v>
      </c>
      <c r="E20" s="478">
        <v>0.0</v>
      </c>
      <c r="F20" s="479">
        <v>0.0</v>
      </c>
      <c r="G20" s="480">
        <f t="shared" si="5"/>
        <v>10</v>
      </c>
      <c r="H20" s="480">
        <v>40.0</v>
      </c>
      <c r="I20" s="480">
        <f t="shared" si="6"/>
        <v>-30</v>
      </c>
      <c r="J20" s="447"/>
      <c r="K20" s="364"/>
    </row>
    <row r="21" ht="12.75" customHeight="1">
      <c r="A21" s="476" t="s">
        <v>42</v>
      </c>
      <c r="B21" s="477">
        <v>2.0</v>
      </c>
      <c r="C21" s="481">
        <f t="shared" si="4"/>
        <v>20</v>
      </c>
      <c r="D21" s="478">
        <v>20.0</v>
      </c>
      <c r="E21" s="478">
        <v>0.0</v>
      </c>
      <c r="F21" s="479">
        <v>0.0</v>
      </c>
      <c r="G21" s="480">
        <f t="shared" si="5"/>
        <v>40</v>
      </c>
      <c r="H21" s="480">
        <v>40.0</v>
      </c>
      <c r="I21" s="480">
        <f t="shared" si="6"/>
        <v>0</v>
      </c>
      <c r="J21" s="447"/>
      <c r="K21" s="364"/>
    </row>
    <row r="22" ht="12.75" customHeight="1">
      <c r="A22" s="476" t="s">
        <v>34</v>
      </c>
      <c r="B22" s="477">
        <v>2.0</v>
      </c>
      <c r="C22" s="478">
        <f t="shared" si="4"/>
        <v>20</v>
      </c>
      <c r="D22" s="478">
        <v>20.0</v>
      </c>
      <c r="E22" s="478">
        <v>0.0</v>
      </c>
      <c r="F22" s="479">
        <v>0.0</v>
      </c>
      <c r="G22" s="480">
        <f t="shared" si="5"/>
        <v>40</v>
      </c>
      <c r="H22" s="480">
        <v>40.0</v>
      </c>
      <c r="I22" s="480">
        <f t="shared" si="6"/>
        <v>0</v>
      </c>
      <c r="J22" s="447"/>
      <c r="K22" s="364"/>
      <c r="O22" s="365"/>
    </row>
    <row r="23" ht="12.75" customHeight="1">
      <c r="A23" s="476" t="s">
        <v>39</v>
      </c>
      <c r="B23" s="477">
        <v>0.0</v>
      </c>
      <c r="C23" s="481">
        <f t="shared" si="4"/>
        <v>0</v>
      </c>
      <c r="D23" s="478">
        <v>0.0</v>
      </c>
      <c r="E23" s="478">
        <v>0.0</v>
      </c>
      <c r="F23" s="479">
        <v>0.0</v>
      </c>
      <c r="G23" s="480">
        <f t="shared" si="5"/>
        <v>0</v>
      </c>
      <c r="H23" s="480">
        <v>40.0</v>
      </c>
      <c r="I23" s="480">
        <f t="shared" si="6"/>
        <v>-40</v>
      </c>
      <c r="J23" s="447"/>
      <c r="K23" s="364"/>
      <c r="O23" s="365"/>
    </row>
    <row r="24" ht="12.75" customHeight="1">
      <c r="A24" s="476" t="s">
        <v>36</v>
      </c>
      <c r="B24" s="477">
        <v>0.0</v>
      </c>
      <c r="C24" s="481">
        <f t="shared" si="4"/>
        <v>0</v>
      </c>
      <c r="D24" s="478">
        <v>0.0</v>
      </c>
      <c r="E24" s="478">
        <v>0.0</v>
      </c>
      <c r="F24" s="479">
        <v>0.0</v>
      </c>
      <c r="G24" s="480">
        <f t="shared" si="5"/>
        <v>0</v>
      </c>
      <c r="H24" s="480">
        <v>40.0</v>
      </c>
      <c r="I24" s="480">
        <f t="shared" si="6"/>
        <v>-40</v>
      </c>
      <c r="J24" s="447"/>
      <c r="K24" s="364"/>
      <c r="O24" s="365"/>
    </row>
    <row r="25" ht="12.75" customHeight="1">
      <c r="A25" s="476" t="s">
        <v>35</v>
      </c>
      <c r="B25" s="477">
        <v>2.0</v>
      </c>
      <c r="C25" s="481">
        <f t="shared" si="4"/>
        <v>20</v>
      </c>
      <c r="D25" s="478">
        <v>0.0</v>
      </c>
      <c r="E25" s="478">
        <v>0.0</v>
      </c>
      <c r="F25" s="479">
        <v>0.0</v>
      </c>
      <c r="G25" s="480">
        <f t="shared" si="5"/>
        <v>20</v>
      </c>
      <c r="H25" s="480">
        <v>40.0</v>
      </c>
      <c r="I25" s="480">
        <f t="shared" si="6"/>
        <v>-20</v>
      </c>
      <c r="J25" s="447"/>
      <c r="K25" s="364"/>
      <c r="O25" s="365"/>
    </row>
    <row r="26" ht="12.75" customHeight="1">
      <c r="A26" s="476" t="s">
        <v>254</v>
      </c>
      <c r="B26" s="477">
        <v>3.0</v>
      </c>
      <c r="C26" s="478">
        <f t="shared" si="4"/>
        <v>30</v>
      </c>
      <c r="D26" s="478">
        <v>20.0</v>
      </c>
      <c r="E26" s="478">
        <v>0.0</v>
      </c>
      <c r="F26" s="479">
        <v>0.0</v>
      </c>
      <c r="G26" s="480">
        <f t="shared" si="5"/>
        <v>50</v>
      </c>
      <c r="H26" s="480">
        <v>40.0</v>
      </c>
      <c r="I26" s="480">
        <f t="shared" si="6"/>
        <v>10</v>
      </c>
      <c r="J26" s="447"/>
      <c r="K26" s="364"/>
      <c r="O26" s="365"/>
    </row>
    <row r="27" ht="12.75" customHeight="1">
      <c r="A27" s="476" t="s">
        <v>116</v>
      </c>
      <c r="B27" s="477">
        <v>1.0</v>
      </c>
      <c r="C27" s="481">
        <f t="shared" si="4"/>
        <v>10</v>
      </c>
      <c r="D27" s="478">
        <v>20.0</v>
      </c>
      <c r="E27" s="478">
        <v>0.0</v>
      </c>
      <c r="F27" s="479">
        <v>0.0</v>
      </c>
      <c r="G27" s="480">
        <f t="shared" si="5"/>
        <v>30</v>
      </c>
      <c r="H27" s="480">
        <v>40.0</v>
      </c>
      <c r="I27" s="480">
        <f t="shared" si="6"/>
        <v>-10</v>
      </c>
      <c r="J27" s="447"/>
      <c r="K27" s="364"/>
      <c r="O27" s="365"/>
    </row>
    <row r="28" ht="13.5" customHeight="1">
      <c r="A28" s="483" t="s">
        <v>37</v>
      </c>
      <c r="B28" s="484">
        <v>2.0</v>
      </c>
      <c r="C28" s="485">
        <f t="shared" si="4"/>
        <v>20</v>
      </c>
      <c r="D28" s="485">
        <v>20.0</v>
      </c>
      <c r="E28" s="485">
        <v>50.0</v>
      </c>
      <c r="F28" s="486">
        <v>0.0</v>
      </c>
      <c r="G28" s="487">
        <f t="shared" si="5"/>
        <v>90</v>
      </c>
      <c r="H28" s="487">
        <v>40.0</v>
      </c>
      <c r="I28" s="487">
        <f t="shared" si="6"/>
        <v>50</v>
      </c>
      <c r="J28" s="447"/>
      <c r="K28" s="364"/>
      <c r="O28" s="365"/>
    </row>
    <row r="29" ht="12.75" customHeight="1">
      <c r="A29" s="447"/>
      <c r="B29" s="447"/>
      <c r="C29" s="447"/>
      <c r="D29" s="447"/>
      <c r="E29" s="447"/>
      <c r="F29" s="447"/>
      <c r="G29" s="447"/>
      <c r="H29" s="447"/>
      <c r="I29" s="447"/>
      <c r="J29" s="447"/>
      <c r="K29" s="364"/>
      <c r="O29" s="365"/>
    </row>
    <row r="30" ht="13.5" customHeight="1">
      <c r="C30" s="389">
        <f t="shared" ref="C30:F30" si="7">SUM(C17:C28)</f>
        <v>160</v>
      </c>
      <c r="D30" s="389">
        <f t="shared" si="7"/>
        <v>120</v>
      </c>
      <c r="E30" s="389">
        <f t="shared" si="7"/>
        <v>100</v>
      </c>
      <c r="F30" s="389">
        <f t="shared" si="7"/>
        <v>100</v>
      </c>
      <c r="G30" s="389"/>
      <c r="H30" s="364"/>
      <c r="J30" s="364"/>
      <c r="K30" s="364"/>
      <c r="O30" s="365"/>
    </row>
    <row r="31" ht="13.5" customHeight="1">
      <c r="A31" s="488" t="s">
        <v>118</v>
      </c>
      <c r="B31" s="489" t="s">
        <v>0</v>
      </c>
      <c r="C31" s="489" t="s">
        <v>119</v>
      </c>
      <c r="D31" s="489" t="s">
        <v>114</v>
      </c>
      <c r="E31" s="490" t="s">
        <v>120</v>
      </c>
      <c r="F31" s="364"/>
      <c r="G31" s="364"/>
      <c r="H31" s="364"/>
      <c r="J31" s="611" t="s">
        <v>123</v>
      </c>
      <c r="K31" s="423" t="s">
        <v>124</v>
      </c>
      <c r="L31" s="612" t="s">
        <v>125</v>
      </c>
      <c r="M31" s="612" t="s">
        <v>126</v>
      </c>
      <c r="N31" s="612" t="s">
        <v>127</v>
      </c>
      <c r="O31" s="612" t="s">
        <v>128</v>
      </c>
      <c r="P31" s="612" t="s">
        <v>129</v>
      </c>
      <c r="Q31" s="613" t="s">
        <v>130</v>
      </c>
    </row>
    <row r="32" ht="12.75" customHeight="1">
      <c r="A32" s="494" t="s">
        <v>121</v>
      </c>
      <c r="B32" s="570" t="s">
        <v>36</v>
      </c>
      <c r="C32" s="571">
        <v>10.0</v>
      </c>
      <c r="D32" s="570" t="s">
        <v>260</v>
      </c>
      <c r="E32" s="572">
        <v>126.0</v>
      </c>
      <c r="F32" s="364"/>
      <c r="G32" s="364"/>
      <c r="H32" s="364"/>
      <c r="J32" s="522">
        <v>1.0</v>
      </c>
      <c r="K32" s="600" t="s">
        <v>261</v>
      </c>
      <c r="L32" s="594">
        <v>11.0</v>
      </c>
      <c r="M32" s="594">
        <v>2.0</v>
      </c>
      <c r="N32" s="594">
        <v>0.0</v>
      </c>
      <c r="O32" s="595">
        <v>0.0</v>
      </c>
      <c r="P32" s="594">
        <v>1710.0</v>
      </c>
      <c r="Q32" s="596">
        <v>1398.0</v>
      </c>
    </row>
    <row r="33" ht="12.75" customHeight="1">
      <c r="A33" s="504" t="s">
        <v>132</v>
      </c>
      <c r="B33" s="577" t="s">
        <v>30</v>
      </c>
      <c r="C33" s="578">
        <v>10.0</v>
      </c>
      <c r="D33" s="577" t="s">
        <v>122</v>
      </c>
      <c r="E33" s="579">
        <v>151.5</v>
      </c>
      <c r="F33" s="364"/>
      <c r="G33" s="364"/>
      <c r="H33" s="364"/>
      <c r="J33" s="527">
        <v>2.0</v>
      </c>
      <c r="K33" s="600" t="s">
        <v>209</v>
      </c>
      <c r="L33" s="594">
        <v>8.0</v>
      </c>
      <c r="M33" s="594">
        <v>5.0</v>
      </c>
      <c r="N33" s="594">
        <v>0.0</v>
      </c>
      <c r="O33" s="598">
        <v>3.0</v>
      </c>
      <c r="P33" s="597">
        <v>1831.5</v>
      </c>
      <c r="Q33" s="599">
        <v>1607.5</v>
      </c>
    </row>
    <row r="34" ht="12.75" customHeight="1">
      <c r="A34" s="504" t="s">
        <v>134</v>
      </c>
      <c r="B34" s="577" t="s">
        <v>35</v>
      </c>
      <c r="C34" s="578">
        <v>10.0</v>
      </c>
      <c r="D34" s="577" t="s">
        <v>122</v>
      </c>
      <c r="E34" s="579">
        <v>163.5</v>
      </c>
      <c r="F34" s="364"/>
      <c r="G34" s="364"/>
      <c r="H34" s="364"/>
      <c r="J34" s="527">
        <v>3.0</v>
      </c>
      <c r="K34" s="593" t="s">
        <v>151</v>
      </c>
      <c r="L34" s="594">
        <v>8.0</v>
      </c>
      <c r="M34" s="594">
        <v>5.0</v>
      </c>
      <c r="N34" s="594">
        <v>0.0</v>
      </c>
      <c r="O34" s="598">
        <v>3.0</v>
      </c>
      <c r="P34" s="597">
        <v>1632.0</v>
      </c>
      <c r="Q34" s="599">
        <v>1573.0</v>
      </c>
    </row>
    <row r="35" ht="12.75" customHeight="1">
      <c r="A35" s="504" t="s">
        <v>136</v>
      </c>
      <c r="B35" s="577" t="s">
        <v>42</v>
      </c>
      <c r="C35" s="578">
        <v>10.0</v>
      </c>
      <c r="D35" s="586" t="s">
        <v>122</v>
      </c>
      <c r="E35" s="579">
        <v>167.0</v>
      </c>
      <c r="F35" s="364"/>
      <c r="G35" s="364"/>
      <c r="H35" s="364"/>
      <c r="J35" s="527">
        <v>4.0</v>
      </c>
      <c r="K35" s="593" t="s">
        <v>237</v>
      </c>
      <c r="L35" s="594">
        <v>8.0</v>
      </c>
      <c r="M35" s="594">
        <v>5.0</v>
      </c>
      <c r="N35" s="594">
        <v>0.0</v>
      </c>
      <c r="O35" s="598">
        <v>3.0</v>
      </c>
      <c r="P35" s="597">
        <v>1586.0</v>
      </c>
      <c r="Q35" s="599">
        <v>1507.0</v>
      </c>
    </row>
    <row r="36" ht="12.75" customHeight="1">
      <c r="A36" s="504" t="s">
        <v>138</v>
      </c>
      <c r="B36" s="577" t="s">
        <v>39</v>
      </c>
      <c r="C36" s="578">
        <v>10.0</v>
      </c>
      <c r="D36" s="577" t="s">
        <v>122</v>
      </c>
      <c r="E36" s="579">
        <v>181.0</v>
      </c>
      <c r="F36" s="364"/>
      <c r="G36" s="364"/>
      <c r="H36" s="364"/>
      <c r="J36" s="522">
        <v>5.0</v>
      </c>
      <c r="K36" s="593" t="s">
        <v>143</v>
      </c>
      <c r="L36" s="594">
        <v>7.0</v>
      </c>
      <c r="M36" s="594">
        <v>6.0</v>
      </c>
      <c r="N36" s="594">
        <v>0.0</v>
      </c>
      <c r="O36" s="595">
        <v>4.0</v>
      </c>
      <c r="P36" s="597">
        <v>1577.0</v>
      </c>
      <c r="Q36" s="596">
        <v>1673.0</v>
      </c>
    </row>
    <row r="37" ht="13.5" customHeight="1">
      <c r="A37" s="504" t="s">
        <v>140</v>
      </c>
      <c r="B37" s="577" t="s">
        <v>38</v>
      </c>
      <c r="C37" s="578">
        <v>10.0</v>
      </c>
      <c r="D37" s="577" t="s">
        <v>122</v>
      </c>
      <c r="E37" s="579">
        <v>160.0</v>
      </c>
      <c r="F37" s="364"/>
      <c r="G37" s="364"/>
      <c r="H37" s="364"/>
      <c r="J37" s="614">
        <v>6.0</v>
      </c>
      <c r="K37" s="601" t="s">
        <v>149</v>
      </c>
      <c r="L37" s="602">
        <v>6.0</v>
      </c>
      <c r="M37" s="602">
        <v>7.0</v>
      </c>
      <c r="N37" s="602">
        <v>0.0</v>
      </c>
      <c r="O37" s="603">
        <v>5.0</v>
      </c>
      <c r="P37" s="602">
        <v>1706.5</v>
      </c>
      <c r="Q37" s="604">
        <v>1565.5</v>
      </c>
    </row>
    <row r="38" ht="12.75" customHeight="1">
      <c r="A38" s="504" t="s">
        <v>142</v>
      </c>
      <c r="B38" s="577" t="s">
        <v>262</v>
      </c>
      <c r="C38" s="578">
        <v>10.0</v>
      </c>
      <c r="D38" s="577" t="s">
        <v>122</v>
      </c>
      <c r="E38" s="579">
        <v>185.0</v>
      </c>
      <c r="F38" s="364"/>
      <c r="G38" s="364"/>
      <c r="H38" s="364"/>
      <c r="J38" s="522">
        <v>7.0</v>
      </c>
      <c r="K38" s="593" t="s">
        <v>184</v>
      </c>
      <c r="L38" s="594">
        <v>6.0</v>
      </c>
      <c r="M38" s="594">
        <v>7.0</v>
      </c>
      <c r="N38" s="594">
        <v>0.0</v>
      </c>
      <c r="O38" s="595">
        <v>5.0</v>
      </c>
      <c r="P38" s="594">
        <v>1631.0</v>
      </c>
      <c r="Q38" s="596">
        <v>1714.5</v>
      </c>
    </row>
    <row r="39" ht="12.75" customHeight="1">
      <c r="A39" s="504" t="s">
        <v>144</v>
      </c>
      <c r="B39" s="577" t="s">
        <v>37</v>
      </c>
      <c r="C39" s="578">
        <v>10.0</v>
      </c>
      <c r="D39" s="577" t="s">
        <v>122</v>
      </c>
      <c r="E39" s="579">
        <v>188.5</v>
      </c>
      <c r="F39" s="364"/>
      <c r="G39" s="364"/>
      <c r="H39" s="364"/>
      <c r="J39" s="527">
        <v>8.0</v>
      </c>
      <c r="K39" s="593" t="s">
        <v>187</v>
      </c>
      <c r="L39" s="594">
        <v>6.0</v>
      </c>
      <c r="M39" s="594">
        <v>7.0</v>
      </c>
      <c r="N39" s="597">
        <v>0.0</v>
      </c>
      <c r="O39" s="598">
        <v>5.0</v>
      </c>
      <c r="P39" s="597">
        <v>1511.5</v>
      </c>
      <c r="Q39" s="599">
        <v>1567.0</v>
      </c>
    </row>
    <row r="40" ht="12.75" customHeight="1">
      <c r="A40" s="504" t="s">
        <v>146</v>
      </c>
      <c r="B40" s="577" t="s">
        <v>39</v>
      </c>
      <c r="C40" s="578">
        <v>10.0</v>
      </c>
      <c r="D40" s="577" t="s">
        <v>122</v>
      </c>
      <c r="E40" s="579">
        <v>143.5</v>
      </c>
      <c r="F40" s="364"/>
      <c r="G40" s="364"/>
      <c r="H40" s="364"/>
      <c r="J40" s="522">
        <v>9.0</v>
      </c>
      <c r="K40" s="600" t="s">
        <v>211</v>
      </c>
      <c r="L40" s="594">
        <v>6.0</v>
      </c>
      <c r="M40" s="594">
        <v>7.0</v>
      </c>
      <c r="N40" s="597">
        <v>0.0</v>
      </c>
      <c r="O40" s="595">
        <v>5.0</v>
      </c>
      <c r="P40" s="594">
        <v>1373.0</v>
      </c>
      <c r="Q40" s="599">
        <v>1568.0</v>
      </c>
    </row>
    <row r="41" ht="12.75" customHeight="1">
      <c r="A41" s="504" t="s">
        <v>148</v>
      </c>
      <c r="B41" s="577" t="s">
        <v>35</v>
      </c>
      <c r="C41" s="578">
        <v>10.0</v>
      </c>
      <c r="D41" s="577" t="s">
        <v>122</v>
      </c>
      <c r="E41" s="579">
        <v>182.0</v>
      </c>
      <c r="F41" s="364"/>
      <c r="G41" s="364"/>
      <c r="H41" s="364"/>
      <c r="J41" s="527">
        <v>10.0</v>
      </c>
      <c r="K41" s="600" t="s">
        <v>263</v>
      </c>
      <c r="L41" s="594">
        <v>5.0</v>
      </c>
      <c r="M41" s="594">
        <v>8.0</v>
      </c>
      <c r="N41" s="597">
        <v>0.0</v>
      </c>
      <c r="O41" s="598">
        <v>6.0</v>
      </c>
      <c r="P41" s="597">
        <v>1591.0</v>
      </c>
      <c r="Q41" s="599">
        <v>1612.0</v>
      </c>
    </row>
    <row r="42" ht="12.75" customHeight="1">
      <c r="A42" s="504" t="s">
        <v>150</v>
      </c>
      <c r="B42" s="577" t="s">
        <v>38</v>
      </c>
      <c r="C42" s="578">
        <v>10.0</v>
      </c>
      <c r="D42" s="577" t="s">
        <v>122</v>
      </c>
      <c r="E42" s="579">
        <v>145.0</v>
      </c>
      <c r="F42" s="364"/>
      <c r="G42" s="364"/>
      <c r="H42" s="364"/>
      <c r="J42" s="532">
        <v>11.0</v>
      </c>
      <c r="K42" s="600" t="s">
        <v>264</v>
      </c>
      <c r="L42" s="594">
        <v>4.0</v>
      </c>
      <c r="M42" s="594">
        <v>9.0</v>
      </c>
      <c r="N42" s="597">
        <v>0.0</v>
      </c>
      <c r="O42" s="598">
        <v>7.0</v>
      </c>
      <c r="P42" s="597">
        <v>1547.0</v>
      </c>
      <c r="Q42" s="599">
        <v>1602.0</v>
      </c>
    </row>
    <row r="43" ht="13.5" customHeight="1">
      <c r="A43" s="504" t="s">
        <v>152</v>
      </c>
      <c r="B43" s="577" t="s">
        <v>35</v>
      </c>
      <c r="C43" s="578">
        <v>10.0</v>
      </c>
      <c r="D43" s="577" t="s">
        <v>122</v>
      </c>
      <c r="E43" s="579">
        <v>167.0</v>
      </c>
      <c r="F43" s="364"/>
      <c r="G43" s="364"/>
      <c r="H43" s="364"/>
      <c r="J43" s="533">
        <v>12.0</v>
      </c>
      <c r="K43" s="601" t="s">
        <v>265</v>
      </c>
      <c r="L43" s="602">
        <v>3.0</v>
      </c>
      <c r="M43" s="602">
        <v>10.0</v>
      </c>
      <c r="N43" s="602">
        <v>0.0</v>
      </c>
      <c r="O43" s="603">
        <v>8.0</v>
      </c>
      <c r="P43" s="602">
        <v>1427.5</v>
      </c>
      <c r="Q43" s="604">
        <v>1736.5</v>
      </c>
    </row>
    <row r="44" ht="13.5" customHeight="1">
      <c r="A44" s="538" t="s">
        <v>154</v>
      </c>
      <c r="B44" s="605" t="s">
        <v>30</v>
      </c>
      <c r="C44" s="606">
        <v>10.0</v>
      </c>
      <c r="D44" s="605" t="s">
        <v>122</v>
      </c>
      <c r="E44" s="607">
        <v>195.5</v>
      </c>
      <c r="F44" s="364"/>
      <c r="G44" s="364"/>
      <c r="H44" s="364"/>
      <c r="J44" s="364"/>
      <c r="K44" s="364"/>
      <c r="O44" s="365"/>
    </row>
    <row r="45" ht="12.75" customHeight="1">
      <c r="A45" s="542" t="s">
        <v>156</v>
      </c>
      <c r="B45" s="608" t="s">
        <v>39</v>
      </c>
      <c r="C45" s="609">
        <v>10.0</v>
      </c>
      <c r="D45" s="608" t="s">
        <v>122</v>
      </c>
      <c r="E45" s="610">
        <v>121.0</v>
      </c>
      <c r="F45" s="364"/>
      <c r="G45" s="364"/>
      <c r="H45" s="364"/>
      <c r="J45" s="364"/>
      <c r="K45" s="364"/>
      <c r="O45" s="365"/>
    </row>
    <row r="46" ht="12.75" customHeight="1">
      <c r="A46" s="504" t="s">
        <v>219</v>
      </c>
      <c r="B46" s="577" t="s">
        <v>38</v>
      </c>
      <c r="C46" s="578">
        <v>10.0</v>
      </c>
      <c r="D46" s="577" t="s">
        <v>122</v>
      </c>
      <c r="E46" s="579">
        <v>179.0</v>
      </c>
      <c r="F46" s="364"/>
      <c r="G46" s="364"/>
      <c r="H46" s="364"/>
      <c r="J46" s="364"/>
      <c r="K46" s="364"/>
      <c r="O46" s="365"/>
    </row>
    <row r="47" ht="12.75" customHeight="1">
      <c r="A47" s="504" t="s">
        <v>220</v>
      </c>
      <c r="B47" s="577" t="s">
        <v>30</v>
      </c>
      <c r="C47" s="578">
        <v>10.0</v>
      </c>
      <c r="D47" s="577" t="s">
        <v>122</v>
      </c>
      <c r="E47" s="579">
        <v>119.5</v>
      </c>
      <c r="F47" s="364" t="s">
        <v>266</v>
      </c>
      <c r="G47" s="364"/>
      <c r="H47" s="546"/>
      <c r="J47" s="364"/>
      <c r="K47" s="364"/>
      <c r="O47" s="365"/>
    </row>
    <row r="48" ht="12.75" customHeight="1">
      <c r="A48" s="504" t="s">
        <v>221</v>
      </c>
      <c r="B48" s="577" t="s">
        <v>30</v>
      </c>
      <c r="C48" s="578">
        <v>20.0</v>
      </c>
      <c r="D48" s="577" t="s">
        <v>122</v>
      </c>
      <c r="E48" s="579" t="s">
        <v>197</v>
      </c>
      <c r="F48" s="364"/>
      <c r="G48" s="364"/>
      <c r="H48" s="546"/>
      <c r="I48" s="546"/>
      <c r="J48" s="364"/>
      <c r="K48" s="364"/>
      <c r="O48" s="365"/>
    </row>
    <row r="49" ht="12.75" customHeight="1">
      <c r="A49" s="504" t="s">
        <v>222</v>
      </c>
      <c r="B49" s="577" t="s">
        <v>38</v>
      </c>
      <c r="C49" s="578">
        <v>20.0</v>
      </c>
      <c r="D49" s="577" t="s">
        <v>122</v>
      </c>
      <c r="E49" s="579" t="s">
        <v>197</v>
      </c>
      <c r="F49" s="364"/>
      <c r="G49" s="364"/>
      <c r="H49" s="364"/>
      <c r="I49" s="546"/>
      <c r="J49" s="364"/>
      <c r="K49" s="364"/>
      <c r="O49" s="365"/>
    </row>
    <row r="50" ht="12.75" customHeight="1">
      <c r="A50" s="504" t="s">
        <v>223</v>
      </c>
      <c r="B50" s="577" t="s">
        <v>34</v>
      </c>
      <c r="C50" s="578">
        <v>20.0</v>
      </c>
      <c r="D50" s="577" t="s">
        <v>122</v>
      </c>
      <c r="E50" s="579" t="s">
        <v>197</v>
      </c>
      <c r="F50" s="364"/>
      <c r="G50" s="364"/>
      <c r="H50" s="364"/>
      <c r="I50" s="546"/>
      <c r="J50" s="364"/>
      <c r="K50" s="364"/>
      <c r="O50" s="365"/>
    </row>
    <row r="51" ht="12.75" customHeight="1">
      <c r="A51" s="504" t="s">
        <v>224</v>
      </c>
      <c r="B51" s="577" t="s">
        <v>116</v>
      </c>
      <c r="C51" s="578">
        <v>20.0</v>
      </c>
      <c r="D51" s="577" t="s">
        <v>122</v>
      </c>
      <c r="E51" s="579" t="s">
        <v>197</v>
      </c>
      <c r="F51" s="364"/>
      <c r="G51" s="364"/>
      <c r="H51" s="546"/>
      <c r="J51" s="364"/>
      <c r="K51" s="364"/>
      <c r="O51" s="365"/>
    </row>
    <row r="52" ht="12.75" customHeight="1">
      <c r="A52" s="504" t="s">
        <v>225</v>
      </c>
      <c r="B52" s="577" t="s">
        <v>39</v>
      </c>
      <c r="C52" s="578">
        <v>20.0</v>
      </c>
      <c r="D52" s="577" t="s">
        <v>122</v>
      </c>
      <c r="E52" s="579" t="s">
        <v>197</v>
      </c>
      <c r="F52" s="364"/>
      <c r="G52" s="364"/>
      <c r="H52" s="364"/>
      <c r="J52" s="364"/>
      <c r="K52" s="364"/>
      <c r="O52" s="365"/>
    </row>
    <row r="53" ht="12.75" customHeight="1">
      <c r="A53" s="504" t="s">
        <v>226</v>
      </c>
      <c r="B53" s="577" t="s">
        <v>36</v>
      </c>
      <c r="C53" s="578">
        <v>20.0</v>
      </c>
      <c r="D53" s="577" t="s">
        <v>260</v>
      </c>
      <c r="E53" s="579" t="s">
        <v>197</v>
      </c>
      <c r="F53" s="364"/>
      <c r="G53" s="364"/>
      <c r="H53" s="364"/>
      <c r="J53" s="364"/>
      <c r="K53" s="364"/>
      <c r="O53" s="365"/>
    </row>
    <row r="54" ht="12.75" customHeight="1">
      <c r="A54" s="504" t="s">
        <v>227</v>
      </c>
      <c r="B54" s="577" t="s">
        <v>30</v>
      </c>
      <c r="C54" s="578">
        <v>50.0</v>
      </c>
      <c r="D54" s="577" t="s">
        <v>122</v>
      </c>
      <c r="E54" s="579" t="s">
        <v>197</v>
      </c>
      <c r="F54" s="364"/>
      <c r="G54" s="364"/>
      <c r="H54" s="364"/>
      <c r="J54" s="364"/>
      <c r="K54" s="364"/>
      <c r="O54" s="365"/>
    </row>
    <row r="55" ht="12.75" customHeight="1">
      <c r="A55" s="504" t="s">
        <v>228</v>
      </c>
      <c r="B55" s="577" t="s">
        <v>38</v>
      </c>
      <c r="C55" s="578">
        <v>50.0</v>
      </c>
      <c r="D55" s="577" t="s">
        <v>122</v>
      </c>
      <c r="E55" s="579" t="s">
        <v>197</v>
      </c>
      <c r="F55" s="364"/>
      <c r="G55" s="364"/>
      <c r="H55" s="364"/>
      <c r="J55" s="364"/>
      <c r="K55" s="364"/>
      <c r="O55" s="365"/>
    </row>
    <row r="56" ht="13.5" customHeight="1">
      <c r="A56" s="538" t="s">
        <v>79</v>
      </c>
      <c r="B56" s="605" t="s">
        <v>30</v>
      </c>
      <c r="C56" s="606">
        <v>100.0</v>
      </c>
      <c r="D56" s="605" t="s">
        <v>122</v>
      </c>
      <c r="E56" s="607" t="s">
        <v>197</v>
      </c>
      <c r="F56" s="364"/>
      <c r="G56" s="364"/>
      <c r="H56" s="364"/>
      <c r="J56" s="364"/>
      <c r="K56" s="364"/>
      <c r="O56" s="365"/>
    </row>
    <row r="57" ht="12.75" customHeight="1">
      <c r="C57" s="549">
        <f>SUM(C32:C56)</f>
        <v>480</v>
      </c>
      <c r="E57" s="364"/>
      <c r="F57" s="364"/>
      <c r="G57" s="364"/>
      <c r="H57" s="364"/>
      <c r="J57" s="364"/>
      <c r="K57" s="364"/>
      <c r="O57" s="365"/>
    </row>
    <row r="58" ht="12.75" customHeight="1">
      <c r="C58" s="364"/>
      <c r="E58" s="364"/>
      <c r="F58" s="364"/>
      <c r="G58" s="364"/>
      <c r="H58" s="364"/>
      <c r="J58" s="364"/>
      <c r="K58" s="364"/>
    </row>
    <row r="59" ht="12.75" customHeight="1">
      <c r="C59" s="364"/>
      <c r="E59" s="364"/>
      <c r="F59" s="364"/>
      <c r="G59" s="364"/>
      <c r="H59" s="364"/>
      <c r="J59" s="364"/>
      <c r="K59" s="364"/>
    </row>
    <row r="60" ht="12.75" customHeight="1">
      <c r="C60" s="364"/>
      <c r="E60" s="364"/>
      <c r="F60" s="364"/>
      <c r="G60" s="364"/>
      <c r="H60" s="364"/>
      <c r="J60" s="364"/>
      <c r="K60" s="364"/>
    </row>
    <row r="61" ht="12.75" customHeight="1">
      <c r="C61" s="364"/>
      <c r="E61" s="364"/>
      <c r="F61" s="364"/>
      <c r="G61" s="364"/>
      <c r="H61" s="364"/>
      <c r="J61" s="364"/>
      <c r="K61" s="364"/>
    </row>
    <row r="62" ht="12.75" customHeight="1">
      <c r="C62" s="364"/>
      <c r="E62" s="364"/>
      <c r="F62" s="364"/>
      <c r="G62" s="364"/>
      <c r="H62" s="364"/>
      <c r="J62" s="364"/>
      <c r="K62" s="364"/>
    </row>
    <row r="63" ht="12.75" customHeight="1">
      <c r="C63" s="364"/>
      <c r="E63" s="364"/>
      <c r="F63" s="364"/>
      <c r="G63" s="364"/>
      <c r="H63" s="364"/>
      <c r="J63" s="364"/>
      <c r="K63" s="364"/>
    </row>
    <row r="64" ht="12.75" customHeight="1">
      <c r="C64" s="364"/>
      <c r="E64" s="364"/>
      <c r="F64" s="364"/>
      <c r="G64" s="364"/>
      <c r="H64" s="364"/>
      <c r="J64" s="364"/>
      <c r="K64" s="364"/>
    </row>
    <row r="65" ht="12.75" customHeight="1">
      <c r="C65" s="364"/>
      <c r="E65" s="364"/>
      <c r="F65" s="364"/>
      <c r="G65" s="364"/>
      <c r="H65" s="364"/>
      <c r="J65" s="364"/>
      <c r="K65" s="364"/>
    </row>
    <row r="66" ht="12.75" customHeight="1">
      <c r="C66" s="364"/>
      <c r="E66" s="364"/>
      <c r="F66" s="364"/>
      <c r="G66" s="364"/>
      <c r="H66" s="364"/>
      <c r="J66" s="364"/>
      <c r="K66" s="364"/>
    </row>
    <row r="67" ht="12.75" customHeight="1">
      <c r="C67" s="364"/>
      <c r="E67" s="364"/>
      <c r="F67" s="364"/>
      <c r="G67" s="364"/>
      <c r="H67" s="364"/>
      <c r="J67" s="364"/>
      <c r="K67" s="364"/>
    </row>
    <row r="68" ht="12.75" customHeight="1">
      <c r="C68" s="364"/>
      <c r="E68" s="364"/>
      <c r="F68" s="364"/>
      <c r="G68" s="364"/>
      <c r="H68" s="364"/>
      <c r="J68" s="364"/>
      <c r="K68" s="364"/>
    </row>
    <row r="69" ht="12.75" customHeight="1">
      <c r="C69" s="364"/>
      <c r="E69" s="364"/>
      <c r="F69" s="364"/>
      <c r="G69" s="364"/>
      <c r="H69" s="364"/>
      <c r="J69" s="364"/>
      <c r="K69" s="364"/>
    </row>
    <row r="70" ht="12.75" customHeight="1">
      <c r="C70" s="364"/>
      <c r="E70" s="364"/>
      <c r="F70" s="364"/>
      <c r="G70" s="364"/>
      <c r="H70" s="364"/>
      <c r="J70" s="364"/>
      <c r="K70" s="364"/>
    </row>
    <row r="71" ht="12.75" customHeight="1">
      <c r="C71" s="364"/>
      <c r="E71" s="364"/>
      <c r="F71" s="364"/>
      <c r="G71" s="364"/>
      <c r="H71" s="364"/>
      <c r="J71" s="364"/>
      <c r="K71" s="364"/>
    </row>
    <row r="72" ht="12.75" customHeight="1">
      <c r="C72" s="364"/>
      <c r="E72" s="364"/>
      <c r="F72" s="364"/>
      <c r="G72" s="364"/>
      <c r="H72" s="364"/>
      <c r="J72" s="364"/>
      <c r="K72" s="364"/>
    </row>
    <row r="73" ht="12.75" customHeight="1">
      <c r="C73" s="364"/>
      <c r="E73" s="364"/>
      <c r="F73" s="364"/>
      <c r="G73" s="364"/>
      <c r="H73" s="364"/>
      <c r="J73" s="364"/>
      <c r="K73" s="364"/>
    </row>
    <row r="74" ht="12.75" customHeight="1">
      <c r="C74" s="364"/>
      <c r="E74" s="364"/>
      <c r="F74" s="364"/>
      <c r="G74" s="364"/>
      <c r="H74" s="364"/>
      <c r="J74" s="364"/>
      <c r="K74" s="364"/>
    </row>
    <row r="75" ht="12.75" customHeight="1">
      <c r="C75" s="364"/>
      <c r="E75" s="364"/>
      <c r="F75" s="364"/>
      <c r="G75" s="364"/>
      <c r="H75" s="364"/>
      <c r="J75" s="364"/>
      <c r="K75" s="364"/>
    </row>
    <row r="76" ht="12.75" customHeight="1">
      <c r="C76" s="364"/>
      <c r="E76" s="364"/>
      <c r="F76" s="364"/>
      <c r="G76" s="364"/>
      <c r="H76" s="364"/>
      <c r="J76" s="364"/>
      <c r="K76" s="364"/>
    </row>
    <row r="77" ht="12.75" customHeight="1">
      <c r="C77" s="364"/>
      <c r="E77" s="364"/>
      <c r="F77" s="364"/>
      <c r="G77" s="364"/>
      <c r="H77" s="364"/>
      <c r="J77" s="364"/>
      <c r="K77" s="364"/>
    </row>
    <row r="78" ht="12.75" customHeight="1">
      <c r="C78" s="364"/>
      <c r="E78" s="364"/>
      <c r="F78" s="364"/>
      <c r="G78" s="364"/>
      <c r="H78" s="364"/>
      <c r="J78" s="364"/>
      <c r="K78" s="364"/>
    </row>
    <row r="79" ht="12.75" customHeight="1">
      <c r="C79" s="364"/>
      <c r="E79" s="364"/>
      <c r="F79" s="364"/>
      <c r="G79" s="364"/>
      <c r="H79" s="364"/>
      <c r="J79" s="364"/>
      <c r="K79" s="364"/>
    </row>
    <row r="80" ht="12.75" customHeight="1">
      <c r="C80" s="364"/>
      <c r="E80" s="364"/>
      <c r="F80" s="364"/>
      <c r="G80" s="364"/>
      <c r="H80" s="364"/>
      <c r="J80" s="364"/>
      <c r="K80" s="364"/>
    </row>
    <row r="81" ht="12.75" customHeight="1">
      <c r="C81" s="364"/>
      <c r="E81" s="364"/>
      <c r="F81" s="364"/>
      <c r="G81" s="364"/>
      <c r="H81" s="364"/>
      <c r="J81" s="364"/>
      <c r="K81" s="364"/>
    </row>
    <row r="82" ht="12.75" customHeight="1">
      <c r="C82" s="364"/>
      <c r="E82" s="364"/>
      <c r="F82" s="364"/>
      <c r="G82" s="364"/>
      <c r="H82" s="364"/>
      <c r="J82" s="364"/>
      <c r="K82" s="364"/>
    </row>
    <row r="83" ht="12.75" customHeight="1">
      <c r="C83" s="364"/>
      <c r="E83" s="364"/>
      <c r="F83" s="364"/>
      <c r="G83" s="364"/>
      <c r="H83" s="364"/>
      <c r="J83" s="364"/>
      <c r="K83" s="364"/>
    </row>
    <row r="84" ht="12.75" customHeight="1">
      <c r="C84" s="364"/>
      <c r="E84" s="364"/>
      <c r="F84" s="364"/>
      <c r="G84" s="364"/>
      <c r="H84" s="364"/>
      <c r="J84" s="364"/>
      <c r="K84" s="364"/>
    </row>
    <row r="85" ht="12.75" customHeight="1">
      <c r="C85" s="364"/>
      <c r="E85" s="364"/>
      <c r="F85" s="364"/>
      <c r="G85" s="364"/>
      <c r="H85" s="364"/>
      <c r="J85" s="364"/>
      <c r="K85" s="364"/>
    </row>
    <row r="86" ht="12.75" customHeight="1">
      <c r="C86" s="364"/>
      <c r="E86" s="364"/>
      <c r="F86" s="364"/>
      <c r="G86" s="364"/>
      <c r="H86" s="364"/>
      <c r="J86" s="364"/>
      <c r="K86" s="364"/>
    </row>
    <row r="87" ht="12.75" customHeight="1">
      <c r="C87" s="364"/>
      <c r="E87" s="364"/>
      <c r="F87" s="364"/>
      <c r="G87" s="364"/>
      <c r="H87" s="364"/>
      <c r="J87" s="364"/>
      <c r="K87" s="364"/>
    </row>
    <row r="88" ht="12.75" customHeight="1">
      <c r="C88" s="364"/>
      <c r="E88" s="364"/>
      <c r="F88" s="364"/>
      <c r="G88" s="364"/>
      <c r="H88" s="364"/>
      <c r="J88" s="364"/>
      <c r="K88" s="364"/>
    </row>
    <row r="89" ht="12.75" customHeight="1">
      <c r="C89" s="364"/>
      <c r="E89" s="364"/>
      <c r="F89" s="364"/>
      <c r="G89" s="364"/>
      <c r="H89" s="364"/>
      <c r="J89" s="364"/>
      <c r="K89" s="364"/>
    </row>
    <row r="90" ht="12.75" customHeight="1">
      <c r="C90" s="364"/>
      <c r="E90" s="364"/>
      <c r="F90" s="364"/>
      <c r="G90" s="364"/>
      <c r="H90" s="364"/>
      <c r="J90" s="364"/>
      <c r="K90" s="364"/>
    </row>
    <row r="91" ht="12.75" customHeight="1">
      <c r="C91" s="364"/>
      <c r="E91" s="364"/>
      <c r="F91" s="364"/>
      <c r="G91" s="364"/>
      <c r="H91" s="364"/>
      <c r="J91" s="364"/>
      <c r="K91" s="364"/>
    </row>
    <row r="92" ht="12.75" customHeight="1">
      <c r="C92" s="364"/>
      <c r="E92" s="364"/>
      <c r="F92" s="364"/>
      <c r="G92" s="364"/>
      <c r="H92" s="364"/>
      <c r="J92" s="364"/>
      <c r="K92" s="364"/>
    </row>
    <row r="93" ht="12.75" customHeight="1">
      <c r="C93" s="364"/>
      <c r="E93" s="364"/>
      <c r="F93" s="364"/>
      <c r="G93" s="364"/>
      <c r="H93" s="364"/>
      <c r="J93" s="364"/>
      <c r="K93" s="364"/>
    </row>
    <row r="94" ht="12.75" customHeight="1">
      <c r="C94" s="364"/>
      <c r="E94" s="364"/>
      <c r="F94" s="364"/>
      <c r="G94" s="364"/>
      <c r="H94" s="364"/>
      <c r="J94" s="364"/>
      <c r="K94" s="364"/>
    </row>
    <row r="95" ht="12.75" customHeight="1">
      <c r="C95" s="364"/>
      <c r="E95" s="364"/>
      <c r="F95" s="364"/>
      <c r="G95" s="364"/>
      <c r="H95" s="364"/>
      <c r="J95" s="364"/>
      <c r="K95" s="364"/>
    </row>
    <row r="96" ht="12.75" customHeight="1">
      <c r="C96" s="364"/>
      <c r="E96" s="364"/>
      <c r="F96" s="364"/>
      <c r="G96" s="364"/>
      <c r="H96" s="364"/>
      <c r="J96" s="364"/>
      <c r="K96" s="364"/>
    </row>
    <row r="97" ht="12.75" customHeight="1">
      <c r="C97" s="364"/>
      <c r="E97" s="364"/>
      <c r="F97" s="364"/>
      <c r="G97" s="364"/>
      <c r="H97" s="364"/>
      <c r="J97" s="364"/>
      <c r="K97" s="364"/>
    </row>
    <row r="98" ht="12.75" customHeight="1">
      <c r="C98" s="364"/>
      <c r="E98" s="364"/>
      <c r="F98" s="364"/>
      <c r="G98" s="364"/>
      <c r="H98" s="364"/>
      <c r="J98" s="364"/>
      <c r="K98" s="364"/>
    </row>
    <row r="99" ht="12.75" customHeight="1">
      <c r="C99" s="364"/>
      <c r="E99" s="364"/>
      <c r="F99" s="364"/>
      <c r="G99" s="364"/>
      <c r="H99" s="364"/>
      <c r="J99" s="364"/>
      <c r="K99" s="364"/>
    </row>
    <row r="100" ht="12.75" customHeight="1">
      <c r="C100" s="364"/>
      <c r="E100" s="364"/>
      <c r="F100" s="364"/>
      <c r="G100" s="364"/>
      <c r="H100" s="364"/>
      <c r="J100" s="364"/>
      <c r="K100" s="364"/>
    </row>
    <row r="101" ht="12.75" customHeight="1">
      <c r="C101" s="364"/>
      <c r="E101" s="364"/>
      <c r="F101" s="364"/>
      <c r="G101" s="364"/>
      <c r="H101" s="364"/>
      <c r="J101" s="364"/>
      <c r="K101" s="364"/>
    </row>
    <row r="102" ht="12.75" customHeight="1">
      <c r="C102" s="364"/>
      <c r="E102" s="364"/>
      <c r="F102" s="364"/>
      <c r="G102" s="364"/>
      <c r="H102" s="364"/>
      <c r="J102" s="364"/>
      <c r="K102" s="364"/>
    </row>
    <row r="103" ht="12.75" customHeight="1">
      <c r="C103" s="364"/>
      <c r="E103" s="364"/>
      <c r="F103" s="364"/>
      <c r="G103" s="364"/>
      <c r="H103" s="364"/>
      <c r="J103" s="364"/>
      <c r="K103" s="364"/>
    </row>
    <row r="104" ht="12.75" customHeight="1">
      <c r="C104" s="364"/>
      <c r="E104" s="364"/>
      <c r="F104" s="364"/>
      <c r="G104" s="364"/>
      <c r="H104" s="364"/>
      <c r="J104" s="364"/>
      <c r="K104" s="364"/>
    </row>
    <row r="105" ht="12.75" customHeight="1">
      <c r="C105" s="364"/>
      <c r="E105" s="364"/>
      <c r="F105" s="364"/>
      <c r="G105" s="364"/>
      <c r="H105" s="364"/>
      <c r="J105" s="364"/>
      <c r="K105" s="364"/>
    </row>
    <row r="106" ht="12.75" customHeight="1">
      <c r="C106" s="364"/>
      <c r="E106" s="364"/>
      <c r="F106" s="364"/>
      <c r="G106" s="364"/>
      <c r="H106" s="364"/>
      <c r="J106" s="364"/>
      <c r="K106" s="364"/>
    </row>
    <row r="107" ht="12.75" customHeight="1">
      <c r="C107" s="364"/>
      <c r="E107" s="364"/>
      <c r="F107" s="364"/>
      <c r="G107" s="364"/>
      <c r="H107" s="364"/>
      <c r="J107" s="364"/>
      <c r="K107" s="364"/>
    </row>
    <row r="108" ht="12.75" customHeight="1">
      <c r="C108" s="364"/>
      <c r="E108" s="364"/>
      <c r="F108" s="364"/>
      <c r="G108" s="364"/>
      <c r="H108" s="364"/>
      <c r="J108" s="364"/>
      <c r="K108" s="364"/>
    </row>
    <row r="109" ht="12.75" customHeight="1">
      <c r="C109" s="364"/>
      <c r="E109" s="364"/>
      <c r="F109" s="364"/>
      <c r="G109" s="364"/>
      <c r="H109" s="364"/>
      <c r="J109" s="364"/>
      <c r="K109" s="364"/>
    </row>
    <row r="110" ht="12.75" customHeight="1">
      <c r="C110" s="364"/>
      <c r="E110" s="364"/>
      <c r="F110" s="364"/>
      <c r="G110" s="364"/>
      <c r="H110" s="364"/>
      <c r="J110" s="364"/>
      <c r="K110" s="364"/>
    </row>
    <row r="111" ht="12.75" customHeight="1">
      <c r="C111" s="364"/>
      <c r="E111" s="364"/>
      <c r="F111" s="364"/>
      <c r="G111" s="364"/>
      <c r="H111" s="364"/>
      <c r="J111" s="364"/>
      <c r="K111" s="364"/>
    </row>
    <row r="112" ht="12.75" customHeight="1">
      <c r="C112" s="364"/>
      <c r="E112" s="364"/>
      <c r="F112" s="364"/>
      <c r="G112" s="364"/>
      <c r="H112" s="364"/>
      <c r="J112" s="364"/>
      <c r="K112" s="364"/>
    </row>
    <row r="113" ht="12.75" customHeight="1">
      <c r="C113" s="364"/>
      <c r="E113" s="364"/>
      <c r="F113" s="364"/>
      <c r="G113" s="364"/>
      <c r="H113" s="364"/>
      <c r="J113" s="364"/>
      <c r="K113" s="364"/>
    </row>
    <row r="114" ht="12.75" customHeight="1">
      <c r="C114" s="364"/>
      <c r="E114" s="364"/>
      <c r="F114" s="364"/>
      <c r="G114" s="364"/>
      <c r="H114" s="364"/>
      <c r="J114" s="364"/>
      <c r="K114" s="364"/>
    </row>
    <row r="115" ht="12.75" customHeight="1">
      <c r="C115" s="364"/>
      <c r="E115" s="364"/>
      <c r="F115" s="364"/>
      <c r="G115" s="364"/>
      <c r="H115" s="364"/>
      <c r="J115" s="364"/>
      <c r="K115" s="364"/>
    </row>
    <row r="116" ht="12.75" customHeight="1">
      <c r="C116" s="364"/>
      <c r="E116" s="364"/>
      <c r="F116" s="364"/>
      <c r="G116" s="364"/>
      <c r="H116" s="364"/>
      <c r="J116" s="364"/>
      <c r="K116" s="364"/>
    </row>
    <row r="117" ht="12.75" customHeight="1">
      <c r="C117" s="364"/>
      <c r="E117" s="364"/>
      <c r="F117" s="364"/>
      <c r="G117" s="364"/>
      <c r="H117" s="364"/>
      <c r="J117" s="364"/>
      <c r="K117" s="364"/>
    </row>
    <row r="118" ht="12.75" customHeight="1">
      <c r="C118" s="364"/>
      <c r="E118" s="364"/>
      <c r="F118" s="364"/>
      <c r="G118" s="364"/>
      <c r="H118" s="364"/>
      <c r="J118" s="364"/>
      <c r="K118" s="364"/>
    </row>
    <row r="119" ht="12.75" customHeight="1">
      <c r="C119" s="364"/>
      <c r="E119" s="364"/>
      <c r="F119" s="364"/>
      <c r="G119" s="364"/>
      <c r="H119" s="364"/>
      <c r="J119" s="364"/>
      <c r="K119" s="364"/>
    </row>
    <row r="120" ht="12.75" customHeight="1">
      <c r="C120" s="364"/>
      <c r="E120" s="364"/>
      <c r="F120" s="364"/>
      <c r="G120" s="364"/>
      <c r="H120" s="364"/>
      <c r="J120" s="364"/>
      <c r="K120" s="364"/>
    </row>
    <row r="121" ht="12.75" customHeight="1">
      <c r="C121" s="364"/>
      <c r="E121" s="364"/>
      <c r="F121" s="364"/>
      <c r="G121" s="364"/>
      <c r="H121" s="364"/>
      <c r="J121" s="364"/>
      <c r="K121" s="364"/>
    </row>
    <row r="122" ht="12.75" customHeight="1">
      <c r="C122" s="364"/>
      <c r="E122" s="364"/>
      <c r="F122" s="364"/>
      <c r="G122" s="364"/>
      <c r="H122" s="364"/>
      <c r="J122" s="364"/>
      <c r="K122" s="364"/>
    </row>
    <row r="123" ht="12.75" customHeight="1">
      <c r="C123" s="364"/>
      <c r="E123" s="364"/>
      <c r="F123" s="364"/>
      <c r="G123" s="364"/>
      <c r="H123" s="364"/>
      <c r="J123" s="364"/>
      <c r="K123" s="364"/>
    </row>
    <row r="124" ht="12.75" customHeight="1">
      <c r="C124" s="364"/>
      <c r="E124" s="364"/>
      <c r="F124" s="364"/>
      <c r="G124" s="364"/>
      <c r="H124" s="364"/>
      <c r="J124" s="364"/>
      <c r="K124" s="364"/>
    </row>
    <row r="125" ht="12.75" customHeight="1">
      <c r="C125" s="364"/>
      <c r="E125" s="364"/>
      <c r="F125" s="364"/>
      <c r="G125" s="364"/>
      <c r="H125" s="364"/>
      <c r="J125" s="364"/>
      <c r="K125" s="364"/>
    </row>
    <row r="126" ht="12.75" customHeight="1">
      <c r="C126" s="364"/>
      <c r="E126" s="364"/>
      <c r="F126" s="364"/>
      <c r="G126" s="364"/>
      <c r="H126" s="364"/>
      <c r="J126" s="364"/>
      <c r="K126" s="364"/>
    </row>
    <row r="127" ht="12.75" customHeight="1">
      <c r="C127" s="364"/>
      <c r="E127" s="364"/>
      <c r="F127" s="364"/>
      <c r="G127" s="364"/>
      <c r="H127" s="364"/>
      <c r="J127" s="364"/>
      <c r="K127" s="364"/>
    </row>
    <row r="128" ht="12.75" customHeight="1">
      <c r="C128" s="364"/>
      <c r="E128" s="364"/>
      <c r="F128" s="364"/>
      <c r="G128" s="364"/>
      <c r="H128" s="364"/>
      <c r="J128" s="364"/>
      <c r="K128" s="364"/>
    </row>
    <row r="129" ht="12.75" customHeight="1">
      <c r="C129" s="364"/>
      <c r="E129" s="364"/>
      <c r="F129" s="364"/>
      <c r="G129" s="364"/>
      <c r="H129" s="364"/>
      <c r="J129" s="364"/>
      <c r="K129" s="364"/>
    </row>
    <row r="130" ht="12.75" customHeight="1">
      <c r="C130" s="364"/>
      <c r="E130" s="364"/>
      <c r="F130" s="364"/>
      <c r="G130" s="364"/>
      <c r="H130" s="364"/>
      <c r="J130" s="364"/>
      <c r="K130" s="364"/>
    </row>
    <row r="131" ht="12.75" customHeight="1">
      <c r="C131" s="364"/>
      <c r="E131" s="364"/>
      <c r="F131" s="364"/>
      <c r="G131" s="364"/>
      <c r="H131" s="364"/>
      <c r="J131" s="364"/>
      <c r="K131" s="364"/>
    </row>
    <row r="132" ht="12.75" customHeight="1">
      <c r="C132" s="364"/>
      <c r="E132" s="364"/>
      <c r="F132" s="364"/>
      <c r="G132" s="364"/>
      <c r="H132" s="364"/>
      <c r="J132" s="364"/>
      <c r="K132" s="364"/>
    </row>
    <row r="133" ht="12.75" customHeight="1">
      <c r="C133" s="364"/>
      <c r="E133" s="364"/>
      <c r="F133" s="364"/>
      <c r="G133" s="364"/>
      <c r="H133" s="364"/>
      <c r="J133" s="364"/>
      <c r="K133" s="364"/>
    </row>
    <row r="134" ht="12.75" customHeight="1">
      <c r="C134" s="364"/>
      <c r="E134" s="364"/>
      <c r="F134" s="364"/>
      <c r="G134" s="364"/>
      <c r="H134" s="364"/>
      <c r="J134" s="364"/>
      <c r="K134" s="364"/>
    </row>
    <row r="135" ht="12.75" customHeight="1">
      <c r="C135" s="364"/>
      <c r="E135" s="364"/>
      <c r="F135" s="364"/>
      <c r="G135" s="364"/>
      <c r="H135" s="364"/>
      <c r="J135" s="364"/>
      <c r="K135" s="364"/>
    </row>
    <row r="136" ht="12.75" customHeight="1">
      <c r="C136" s="364"/>
      <c r="E136" s="364"/>
      <c r="F136" s="364"/>
      <c r="G136" s="364"/>
      <c r="H136" s="364"/>
      <c r="J136" s="364"/>
      <c r="K136" s="364"/>
    </row>
    <row r="137" ht="12.75" customHeight="1">
      <c r="C137" s="364"/>
      <c r="E137" s="364"/>
      <c r="F137" s="364"/>
      <c r="G137" s="364"/>
      <c r="H137" s="364"/>
      <c r="J137" s="364"/>
      <c r="K137" s="364"/>
    </row>
    <row r="138" ht="12.75" customHeight="1">
      <c r="C138" s="364"/>
      <c r="E138" s="364"/>
      <c r="F138" s="364"/>
      <c r="G138" s="364"/>
      <c r="H138" s="364"/>
      <c r="J138" s="364"/>
      <c r="K138" s="364"/>
    </row>
    <row r="139" ht="12.75" customHeight="1">
      <c r="C139" s="364"/>
      <c r="E139" s="364"/>
      <c r="F139" s="364"/>
      <c r="G139" s="364"/>
      <c r="H139" s="364"/>
      <c r="J139" s="364"/>
      <c r="K139" s="364"/>
    </row>
    <row r="140" ht="12.75" customHeight="1">
      <c r="C140" s="364"/>
      <c r="E140" s="364"/>
      <c r="F140" s="364"/>
      <c r="G140" s="364"/>
      <c r="H140" s="364"/>
      <c r="J140" s="364"/>
      <c r="K140" s="364"/>
    </row>
    <row r="141" ht="12.75" customHeight="1">
      <c r="C141" s="364"/>
      <c r="E141" s="364"/>
      <c r="F141" s="364"/>
      <c r="G141" s="364"/>
      <c r="H141" s="364"/>
      <c r="J141" s="364"/>
      <c r="K141" s="364"/>
    </row>
    <row r="142" ht="12.75" customHeight="1">
      <c r="C142" s="364"/>
      <c r="E142" s="364"/>
      <c r="F142" s="364"/>
      <c r="G142" s="364"/>
      <c r="H142" s="364"/>
      <c r="J142" s="364"/>
      <c r="K142" s="364"/>
    </row>
    <row r="143" ht="12.75" customHeight="1">
      <c r="C143" s="364"/>
      <c r="E143" s="364"/>
      <c r="F143" s="364"/>
      <c r="G143" s="364"/>
      <c r="H143" s="364"/>
      <c r="J143" s="364"/>
      <c r="K143" s="364"/>
    </row>
    <row r="144" ht="12.75" customHeight="1">
      <c r="C144" s="364"/>
      <c r="E144" s="364"/>
      <c r="F144" s="364"/>
      <c r="G144" s="364"/>
      <c r="H144" s="364"/>
      <c r="J144" s="364"/>
      <c r="K144" s="364"/>
    </row>
    <row r="145" ht="12.75" customHeight="1">
      <c r="C145" s="364"/>
      <c r="E145" s="364"/>
      <c r="F145" s="364"/>
      <c r="G145" s="364"/>
      <c r="H145" s="364"/>
      <c r="J145" s="364"/>
      <c r="K145" s="364"/>
    </row>
    <row r="146" ht="12.75" customHeight="1">
      <c r="C146" s="364"/>
      <c r="E146" s="364"/>
      <c r="F146" s="364"/>
      <c r="G146" s="364"/>
      <c r="H146" s="364"/>
      <c r="J146" s="364"/>
      <c r="K146" s="364"/>
    </row>
    <row r="147" ht="12.75" customHeight="1">
      <c r="C147" s="364"/>
      <c r="E147" s="364"/>
      <c r="F147" s="364"/>
      <c r="G147" s="364"/>
      <c r="H147" s="364"/>
      <c r="J147" s="364"/>
      <c r="K147" s="364"/>
    </row>
    <row r="148" ht="12.75" customHeight="1">
      <c r="C148" s="364"/>
      <c r="E148" s="364"/>
      <c r="F148" s="364"/>
      <c r="G148" s="364"/>
      <c r="H148" s="364"/>
      <c r="J148" s="364"/>
      <c r="K148" s="364"/>
    </row>
    <row r="149" ht="12.75" customHeight="1">
      <c r="C149" s="364"/>
      <c r="E149" s="364"/>
      <c r="F149" s="364"/>
      <c r="G149" s="364"/>
      <c r="H149" s="364"/>
      <c r="J149" s="364"/>
      <c r="K149" s="364"/>
    </row>
    <row r="150" ht="12.75" customHeight="1">
      <c r="C150" s="364"/>
      <c r="E150" s="364"/>
      <c r="F150" s="364"/>
      <c r="G150" s="364"/>
      <c r="H150" s="364"/>
      <c r="J150" s="364"/>
      <c r="K150" s="364"/>
    </row>
    <row r="151" ht="12.75" customHeight="1">
      <c r="C151" s="364"/>
      <c r="E151" s="364"/>
      <c r="F151" s="364"/>
      <c r="G151" s="364"/>
      <c r="H151" s="364"/>
      <c r="J151" s="364"/>
      <c r="K151" s="364"/>
    </row>
    <row r="152" ht="12.75" customHeight="1">
      <c r="C152" s="364"/>
      <c r="E152" s="364"/>
      <c r="F152" s="364"/>
      <c r="G152" s="364"/>
      <c r="H152" s="364"/>
      <c r="J152" s="364"/>
      <c r="K152" s="364"/>
    </row>
    <row r="153" ht="12.75" customHeight="1">
      <c r="C153" s="364"/>
      <c r="E153" s="364"/>
      <c r="F153" s="364"/>
      <c r="G153" s="364"/>
      <c r="H153" s="364"/>
      <c r="J153" s="364"/>
      <c r="K153" s="364"/>
    </row>
    <row r="154" ht="12.75" customHeight="1">
      <c r="C154" s="364"/>
      <c r="E154" s="364"/>
      <c r="F154" s="364"/>
      <c r="G154" s="364"/>
      <c r="H154" s="364"/>
      <c r="J154" s="364"/>
      <c r="K154" s="364"/>
    </row>
    <row r="155" ht="12.75" customHeight="1">
      <c r="C155" s="364"/>
      <c r="E155" s="364"/>
      <c r="F155" s="364"/>
      <c r="G155" s="364"/>
      <c r="H155" s="364"/>
      <c r="J155" s="364"/>
      <c r="K155" s="364"/>
    </row>
    <row r="156" ht="12.75" customHeight="1">
      <c r="C156" s="364"/>
      <c r="E156" s="364"/>
      <c r="F156" s="364"/>
      <c r="G156" s="364"/>
      <c r="H156" s="364"/>
      <c r="J156" s="364"/>
      <c r="K156" s="364"/>
    </row>
    <row r="157" ht="12.75" customHeight="1">
      <c r="C157" s="364"/>
      <c r="E157" s="364"/>
      <c r="F157" s="364"/>
      <c r="G157" s="364"/>
      <c r="H157" s="364"/>
      <c r="J157" s="364"/>
      <c r="K157" s="364"/>
    </row>
    <row r="158" ht="12.75" customHeight="1">
      <c r="C158" s="364"/>
      <c r="E158" s="364"/>
      <c r="F158" s="364"/>
      <c r="G158" s="364"/>
      <c r="H158" s="364"/>
      <c r="J158" s="364"/>
      <c r="K158" s="364"/>
    </row>
    <row r="159" ht="12.75" customHeight="1">
      <c r="C159" s="364"/>
      <c r="E159" s="364"/>
      <c r="F159" s="364"/>
      <c r="G159" s="364"/>
      <c r="H159" s="364"/>
      <c r="J159" s="364"/>
      <c r="K159" s="364"/>
    </row>
    <row r="160" ht="12.75" customHeight="1">
      <c r="C160" s="364"/>
      <c r="E160" s="364"/>
      <c r="F160" s="364"/>
      <c r="G160" s="364"/>
      <c r="H160" s="364"/>
      <c r="J160" s="364"/>
      <c r="K160" s="364"/>
    </row>
    <row r="161" ht="12.75" customHeight="1">
      <c r="C161" s="364"/>
      <c r="E161" s="364"/>
      <c r="F161" s="364"/>
      <c r="G161" s="364"/>
      <c r="H161" s="364"/>
      <c r="J161" s="364"/>
      <c r="K161" s="364"/>
    </row>
    <row r="162" ht="12.75" customHeight="1">
      <c r="C162" s="364"/>
      <c r="E162" s="364"/>
      <c r="F162" s="364"/>
      <c r="G162" s="364"/>
      <c r="H162" s="364"/>
      <c r="J162" s="364"/>
      <c r="K162" s="364"/>
    </row>
    <row r="163" ht="12.75" customHeight="1">
      <c r="C163" s="364"/>
      <c r="E163" s="364"/>
      <c r="F163" s="364"/>
      <c r="G163" s="364"/>
      <c r="H163" s="364"/>
      <c r="J163" s="364"/>
      <c r="K163" s="364"/>
    </row>
    <row r="164" ht="12.75" customHeight="1">
      <c r="C164" s="364"/>
      <c r="E164" s="364"/>
      <c r="F164" s="364"/>
      <c r="G164" s="364"/>
      <c r="H164" s="364"/>
      <c r="J164" s="364"/>
      <c r="K164" s="364"/>
    </row>
    <row r="165" ht="12.75" customHeight="1">
      <c r="C165" s="364"/>
      <c r="E165" s="364"/>
      <c r="F165" s="364"/>
      <c r="G165" s="364"/>
      <c r="H165" s="364"/>
      <c r="J165" s="364"/>
      <c r="K165" s="364"/>
    </row>
    <row r="166" ht="12.75" customHeight="1">
      <c r="C166" s="364"/>
      <c r="E166" s="364"/>
      <c r="F166" s="364"/>
      <c r="G166" s="364"/>
      <c r="H166" s="364"/>
      <c r="J166" s="364"/>
      <c r="K166" s="364"/>
    </row>
    <row r="167" ht="12.75" customHeight="1">
      <c r="C167" s="364"/>
      <c r="E167" s="364"/>
      <c r="F167" s="364"/>
      <c r="G167" s="364"/>
      <c r="H167" s="364"/>
      <c r="J167" s="364"/>
      <c r="K167" s="364"/>
    </row>
    <row r="168" ht="12.75" customHeight="1">
      <c r="C168" s="364"/>
      <c r="E168" s="364"/>
      <c r="F168" s="364"/>
      <c r="G168" s="364"/>
      <c r="H168" s="364"/>
      <c r="J168" s="364"/>
      <c r="K168" s="364"/>
    </row>
    <row r="169" ht="12.75" customHeight="1">
      <c r="C169" s="364"/>
      <c r="E169" s="364"/>
      <c r="F169" s="364"/>
      <c r="G169" s="364"/>
      <c r="H169" s="364"/>
      <c r="J169" s="364"/>
      <c r="K169" s="364"/>
    </row>
    <row r="170" ht="12.75" customHeight="1">
      <c r="C170" s="364"/>
      <c r="E170" s="364"/>
      <c r="F170" s="364"/>
      <c r="G170" s="364"/>
      <c r="H170" s="364"/>
      <c r="J170" s="364"/>
      <c r="K170" s="364"/>
    </row>
    <row r="171" ht="12.75" customHeight="1">
      <c r="C171" s="364"/>
      <c r="E171" s="364"/>
      <c r="F171" s="364"/>
      <c r="G171" s="364"/>
      <c r="H171" s="364"/>
      <c r="J171" s="364"/>
      <c r="K171" s="364"/>
    </row>
    <row r="172" ht="12.75" customHeight="1">
      <c r="C172" s="364"/>
      <c r="E172" s="364"/>
      <c r="F172" s="364"/>
      <c r="G172" s="364"/>
      <c r="H172" s="364"/>
      <c r="J172" s="364"/>
      <c r="K172" s="364"/>
    </row>
    <row r="173" ht="12.75" customHeight="1">
      <c r="C173" s="364"/>
      <c r="E173" s="364"/>
      <c r="F173" s="364"/>
      <c r="G173" s="364"/>
      <c r="H173" s="364"/>
      <c r="J173" s="364"/>
      <c r="K173" s="364"/>
    </row>
    <row r="174" ht="12.75" customHeight="1">
      <c r="C174" s="364"/>
      <c r="E174" s="364"/>
      <c r="F174" s="364"/>
      <c r="G174" s="364"/>
      <c r="H174" s="364"/>
      <c r="J174" s="364"/>
      <c r="K174" s="364"/>
    </row>
    <row r="175" ht="12.75" customHeight="1">
      <c r="C175" s="364"/>
      <c r="E175" s="364"/>
      <c r="F175" s="364"/>
      <c r="G175" s="364"/>
      <c r="H175" s="364"/>
      <c r="J175" s="364"/>
      <c r="K175" s="364"/>
    </row>
    <row r="176" ht="12.75" customHeight="1">
      <c r="C176" s="364"/>
      <c r="E176" s="364"/>
      <c r="F176" s="364"/>
      <c r="G176" s="364"/>
      <c r="H176" s="364"/>
      <c r="J176" s="364"/>
      <c r="K176" s="364"/>
    </row>
    <row r="177" ht="12.75" customHeight="1">
      <c r="C177" s="364"/>
      <c r="E177" s="364"/>
      <c r="F177" s="364"/>
      <c r="G177" s="364"/>
      <c r="H177" s="364"/>
      <c r="J177" s="364"/>
      <c r="K177" s="364"/>
    </row>
    <row r="178" ht="12.75" customHeight="1">
      <c r="C178" s="364"/>
      <c r="E178" s="364"/>
      <c r="F178" s="364"/>
      <c r="G178" s="364"/>
      <c r="H178" s="364"/>
      <c r="J178" s="364"/>
      <c r="K178" s="364"/>
    </row>
    <row r="179" ht="12.75" customHeight="1">
      <c r="C179" s="364"/>
      <c r="E179" s="364"/>
      <c r="F179" s="364"/>
      <c r="G179" s="364"/>
      <c r="H179" s="364"/>
      <c r="J179" s="364"/>
      <c r="K179" s="364"/>
    </row>
    <row r="180" ht="12.75" customHeight="1">
      <c r="C180" s="364"/>
      <c r="E180" s="364"/>
      <c r="F180" s="364"/>
      <c r="G180" s="364"/>
      <c r="H180" s="364"/>
      <c r="J180" s="364"/>
      <c r="K180" s="364"/>
    </row>
    <row r="181" ht="12.75" customHeight="1">
      <c r="C181" s="364"/>
      <c r="E181" s="364"/>
      <c r="F181" s="364"/>
      <c r="G181" s="364"/>
      <c r="H181" s="364"/>
      <c r="J181" s="364"/>
      <c r="K181" s="364"/>
    </row>
    <row r="182" ht="12.75" customHeight="1">
      <c r="C182" s="364"/>
      <c r="E182" s="364"/>
      <c r="F182" s="364"/>
      <c r="G182" s="364"/>
      <c r="H182" s="364"/>
      <c r="J182" s="364"/>
      <c r="K182" s="364"/>
    </row>
    <row r="183" ht="12.75" customHeight="1">
      <c r="C183" s="364"/>
      <c r="E183" s="364"/>
      <c r="F183" s="364"/>
      <c r="G183" s="364"/>
      <c r="H183" s="364"/>
      <c r="J183" s="364"/>
      <c r="K183" s="364"/>
    </row>
    <row r="184" ht="12.75" customHeight="1">
      <c r="C184" s="364"/>
      <c r="E184" s="364"/>
      <c r="F184" s="364"/>
      <c r="G184" s="364"/>
      <c r="H184" s="364"/>
      <c r="J184" s="364"/>
      <c r="K184" s="364"/>
    </row>
    <row r="185" ht="12.75" customHeight="1">
      <c r="C185" s="364"/>
      <c r="E185" s="364"/>
      <c r="F185" s="364"/>
      <c r="G185" s="364"/>
      <c r="H185" s="364"/>
      <c r="J185" s="364"/>
      <c r="K185" s="364"/>
    </row>
    <row r="186" ht="12.75" customHeight="1">
      <c r="C186" s="364"/>
      <c r="E186" s="364"/>
      <c r="F186" s="364"/>
      <c r="G186" s="364"/>
      <c r="H186" s="364"/>
      <c r="J186" s="364"/>
      <c r="K186" s="364"/>
    </row>
    <row r="187" ht="12.75" customHeight="1">
      <c r="C187" s="364"/>
      <c r="E187" s="364"/>
      <c r="F187" s="364"/>
      <c r="G187" s="364"/>
      <c r="H187" s="364"/>
      <c r="J187" s="364"/>
      <c r="K187" s="364"/>
    </row>
    <row r="188" ht="12.75" customHeight="1">
      <c r="C188" s="364"/>
      <c r="E188" s="364"/>
      <c r="F188" s="364"/>
      <c r="G188" s="364"/>
      <c r="H188" s="364"/>
      <c r="J188" s="364"/>
      <c r="K188" s="364"/>
    </row>
    <row r="189" ht="12.75" customHeight="1">
      <c r="C189" s="364"/>
      <c r="E189" s="364"/>
      <c r="F189" s="364"/>
      <c r="G189" s="364"/>
      <c r="H189" s="364"/>
      <c r="J189" s="364"/>
      <c r="K189" s="364"/>
    </row>
    <row r="190" ht="12.75" customHeight="1">
      <c r="C190" s="364"/>
      <c r="E190" s="364"/>
      <c r="F190" s="364"/>
      <c r="G190" s="364"/>
      <c r="H190" s="364"/>
      <c r="J190" s="364"/>
      <c r="K190" s="364"/>
    </row>
    <row r="191" ht="12.75" customHeight="1">
      <c r="C191" s="364"/>
      <c r="E191" s="364"/>
      <c r="F191" s="364"/>
      <c r="G191" s="364"/>
      <c r="H191" s="364"/>
      <c r="J191" s="364"/>
      <c r="K191" s="364"/>
    </row>
    <row r="192" ht="12.75" customHeight="1">
      <c r="C192" s="364"/>
      <c r="E192" s="364"/>
      <c r="F192" s="364"/>
      <c r="G192" s="364"/>
      <c r="H192" s="364"/>
      <c r="J192" s="364"/>
      <c r="K192" s="364"/>
    </row>
    <row r="193" ht="12.75" customHeight="1">
      <c r="C193" s="364"/>
      <c r="E193" s="364"/>
      <c r="F193" s="364"/>
      <c r="G193" s="364"/>
      <c r="H193" s="364"/>
      <c r="J193" s="364"/>
      <c r="K193" s="364"/>
    </row>
    <row r="194" ht="12.75" customHeight="1">
      <c r="C194" s="364"/>
      <c r="E194" s="364"/>
      <c r="F194" s="364"/>
      <c r="G194" s="364"/>
      <c r="H194" s="364"/>
      <c r="J194" s="364"/>
      <c r="K194" s="364"/>
    </row>
    <row r="195" ht="12.75" customHeight="1">
      <c r="C195" s="364"/>
      <c r="E195" s="364"/>
      <c r="F195" s="364"/>
      <c r="G195" s="364"/>
      <c r="H195" s="364"/>
      <c r="J195" s="364"/>
      <c r="K195" s="364"/>
    </row>
    <row r="196" ht="12.75" customHeight="1">
      <c r="C196" s="364"/>
      <c r="E196" s="364"/>
      <c r="F196" s="364"/>
      <c r="G196" s="364"/>
      <c r="H196" s="364"/>
      <c r="J196" s="364"/>
      <c r="K196" s="364"/>
    </row>
    <row r="197" ht="12.75" customHeight="1">
      <c r="C197" s="364"/>
      <c r="E197" s="364"/>
      <c r="F197" s="364"/>
      <c r="G197" s="364"/>
      <c r="H197" s="364"/>
      <c r="J197" s="364"/>
      <c r="K197" s="364"/>
    </row>
    <row r="198" ht="12.75" customHeight="1">
      <c r="C198" s="364"/>
      <c r="E198" s="364"/>
      <c r="F198" s="364"/>
      <c r="G198" s="364"/>
      <c r="H198" s="364"/>
      <c r="J198" s="364"/>
      <c r="K198" s="364"/>
    </row>
    <row r="199" ht="12.75" customHeight="1">
      <c r="C199" s="364"/>
      <c r="E199" s="364"/>
      <c r="F199" s="364"/>
      <c r="G199" s="364"/>
      <c r="H199" s="364"/>
      <c r="J199" s="364"/>
      <c r="K199" s="364"/>
    </row>
    <row r="200" ht="12.75" customHeight="1">
      <c r="C200" s="364"/>
      <c r="E200" s="364"/>
      <c r="F200" s="364"/>
      <c r="G200" s="364"/>
      <c r="H200" s="364"/>
      <c r="J200" s="364"/>
      <c r="K200" s="364"/>
    </row>
    <row r="201" ht="12.75" customHeight="1">
      <c r="C201" s="364"/>
      <c r="E201" s="364"/>
      <c r="F201" s="364"/>
      <c r="G201" s="364"/>
      <c r="H201" s="364"/>
      <c r="J201" s="364"/>
      <c r="K201" s="364"/>
    </row>
    <row r="202" ht="12.75" customHeight="1">
      <c r="C202" s="364"/>
      <c r="E202" s="364"/>
      <c r="F202" s="364"/>
      <c r="G202" s="364"/>
      <c r="H202" s="364"/>
      <c r="J202" s="364"/>
      <c r="K202" s="364"/>
    </row>
    <row r="203" ht="12.75" customHeight="1">
      <c r="C203" s="364"/>
      <c r="E203" s="364"/>
      <c r="F203" s="364"/>
      <c r="G203" s="364"/>
      <c r="H203" s="364"/>
      <c r="J203" s="364"/>
      <c r="K203" s="364"/>
    </row>
    <row r="204" ht="12.75" customHeight="1">
      <c r="C204" s="364"/>
      <c r="E204" s="364"/>
      <c r="F204" s="364"/>
      <c r="G204" s="364"/>
      <c r="H204" s="364"/>
      <c r="J204" s="364"/>
      <c r="K204" s="364"/>
    </row>
    <row r="205" ht="12.75" customHeight="1">
      <c r="C205" s="364"/>
      <c r="E205" s="364"/>
      <c r="F205" s="364"/>
      <c r="G205" s="364"/>
      <c r="H205" s="364"/>
      <c r="J205" s="364"/>
      <c r="K205" s="364"/>
    </row>
    <row r="206" ht="12.75" customHeight="1">
      <c r="C206" s="364"/>
      <c r="E206" s="364"/>
      <c r="F206" s="364"/>
      <c r="G206" s="364"/>
      <c r="H206" s="364"/>
      <c r="J206" s="364"/>
      <c r="K206" s="364"/>
    </row>
    <row r="207" ht="12.75" customHeight="1">
      <c r="C207" s="364"/>
      <c r="E207" s="364"/>
      <c r="F207" s="364"/>
      <c r="G207" s="364"/>
      <c r="H207" s="364"/>
      <c r="J207" s="364"/>
      <c r="K207" s="364"/>
    </row>
    <row r="208" ht="12.75" customHeight="1">
      <c r="C208" s="364"/>
      <c r="E208" s="364"/>
      <c r="F208" s="364"/>
      <c r="G208" s="364"/>
      <c r="H208" s="364"/>
      <c r="J208" s="364"/>
      <c r="K208" s="364"/>
    </row>
    <row r="209" ht="12.75" customHeight="1">
      <c r="C209" s="364"/>
      <c r="E209" s="364"/>
      <c r="F209" s="364"/>
      <c r="G209" s="364"/>
      <c r="H209" s="364"/>
      <c r="J209" s="364"/>
      <c r="K209" s="364"/>
    </row>
    <row r="210" ht="12.75" customHeight="1">
      <c r="C210" s="364"/>
      <c r="E210" s="364"/>
      <c r="F210" s="364"/>
      <c r="G210" s="364"/>
      <c r="H210" s="364"/>
      <c r="J210" s="364"/>
      <c r="K210" s="364"/>
    </row>
    <row r="211" ht="12.75" customHeight="1">
      <c r="C211" s="364"/>
      <c r="E211" s="364"/>
      <c r="F211" s="364"/>
      <c r="G211" s="364"/>
      <c r="H211" s="364"/>
      <c r="J211" s="364"/>
      <c r="K211" s="364"/>
    </row>
    <row r="212" ht="12.75" customHeight="1">
      <c r="C212" s="364"/>
      <c r="E212" s="364"/>
      <c r="F212" s="364"/>
      <c r="G212" s="364"/>
      <c r="H212" s="364"/>
      <c r="J212" s="364"/>
      <c r="K212" s="364"/>
    </row>
    <row r="213" ht="12.75" customHeight="1">
      <c r="C213" s="364"/>
      <c r="E213" s="364"/>
      <c r="F213" s="364"/>
      <c r="G213" s="364"/>
      <c r="H213" s="364"/>
      <c r="J213" s="364"/>
      <c r="K213" s="364"/>
    </row>
    <row r="214" ht="12.75" customHeight="1">
      <c r="C214" s="364"/>
      <c r="E214" s="364"/>
      <c r="F214" s="364"/>
      <c r="G214" s="364"/>
      <c r="H214" s="364"/>
      <c r="J214" s="364"/>
      <c r="K214" s="364"/>
    </row>
    <row r="215" ht="12.75" customHeight="1">
      <c r="C215" s="364"/>
      <c r="E215" s="364"/>
      <c r="F215" s="364"/>
      <c r="G215" s="364"/>
      <c r="H215" s="364"/>
      <c r="J215" s="364"/>
      <c r="K215" s="364"/>
    </row>
    <row r="216" ht="12.75" customHeight="1">
      <c r="C216" s="364"/>
      <c r="E216" s="364"/>
      <c r="F216" s="364"/>
      <c r="G216" s="364"/>
      <c r="H216" s="364"/>
      <c r="J216" s="364"/>
      <c r="K216" s="364"/>
    </row>
    <row r="217" ht="12.75" customHeight="1">
      <c r="C217" s="364"/>
      <c r="E217" s="364"/>
      <c r="F217" s="364"/>
      <c r="G217" s="364"/>
      <c r="H217" s="364"/>
      <c r="J217" s="364"/>
      <c r="K217" s="364"/>
    </row>
    <row r="218" ht="12.75" customHeight="1">
      <c r="C218" s="364"/>
      <c r="E218" s="364"/>
      <c r="F218" s="364"/>
      <c r="G218" s="364"/>
      <c r="H218" s="364"/>
      <c r="J218" s="364"/>
      <c r="K218" s="364"/>
    </row>
    <row r="219" ht="12.75" customHeight="1">
      <c r="C219" s="364"/>
      <c r="E219" s="364"/>
      <c r="F219" s="364"/>
      <c r="G219" s="364"/>
      <c r="H219" s="364"/>
      <c r="J219" s="364"/>
      <c r="K219" s="364"/>
    </row>
    <row r="220" ht="12.75" customHeight="1">
      <c r="C220" s="364"/>
      <c r="E220" s="364"/>
      <c r="F220" s="364"/>
      <c r="G220" s="364"/>
      <c r="H220" s="364"/>
      <c r="J220" s="364"/>
      <c r="K220" s="364"/>
    </row>
    <row r="221" ht="12.75" customHeight="1">
      <c r="C221" s="364"/>
      <c r="E221" s="364"/>
      <c r="F221" s="364"/>
      <c r="G221" s="364"/>
      <c r="H221" s="364"/>
      <c r="J221" s="364"/>
      <c r="K221" s="364"/>
    </row>
    <row r="222" ht="12.75" customHeight="1">
      <c r="C222" s="364"/>
      <c r="E222" s="364"/>
      <c r="F222" s="364"/>
      <c r="G222" s="364"/>
      <c r="H222" s="364"/>
      <c r="J222" s="364"/>
      <c r="K222" s="364"/>
    </row>
    <row r="223" ht="12.75" customHeight="1">
      <c r="C223" s="364"/>
      <c r="E223" s="364"/>
      <c r="F223" s="364"/>
      <c r="G223" s="364"/>
      <c r="H223" s="364"/>
      <c r="J223" s="364"/>
      <c r="K223" s="364"/>
    </row>
    <row r="224" ht="12.75" customHeight="1">
      <c r="C224" s="364"/>
      <c r="E224" s="364"/>
      <c r="F224" s="364"/>
      <c r="G224" s="364"/>
      <c r="H224" s="364"/>
      <c r="J224" s="364"/>
      <c r="K224" s="364"/>
    </row>
    <row r="225" ht="12.75" customHeight="1">
      <c r="C225" s="364"/>
      <c r="E225" s="364"/>
      <c r="F225" s="364"/>
      <c r="G225" s="364"/>
      <c r="H225" s="364"/>
      <c r="J225" s="364"/>
      <c r="K225" s="364"/>
    </row>
    <row r="226" ht="12.75" customHeight="1">
      <c r="C226" s="364"/>
      <c r="E226" s="364"/>
      <c r="F226" s="364"/>
      <c r="G226" s="364"/>
      <c r="H226" s="364"/>
      <c r="J226" s="364"/>
      <c r="K226" s="364"/>
    </row>
    <row r="227" ht="12.75" customHeight="1">
      <c r="C227" s="364"/>
      <c r="E227" s="364"/>
      <c r="F227" s="364"/>
      <c r="G227" s="364"/>
      <c r="H227" s="364"/>
      <c r="J227" s="364"/>
      <c r="K227" s="364"/>
    </row>
    <row r="228" ht="12.75" customHeight="1">
      <c r="C228" s="364"/>
      <c r="E228" s="364"/>
      <c r="F228" s="364"/>
      <c r="G228" s="364"/>
      <c r="H228" s="364"/>
      <c r="J228" s="364"/>
      <c r="K228" s="364"/>
    </row>
    <row r="229" ht="12.75" customHeight="1">
      <c r="C229" s="364"/>
      <c r="E229" s="364"/>
      <c r="F229" s="364"/>
      <c r="G229" s="364"/>
      <c r="H229" s="364"/>
      <c r="J229" s="364"/>
      <c r="K229" s="364"/>
    </row>
    <row r="230" ht="12.75" customHeight="1">
      <c r="C230" s="364"/>
      <c r="E230" s="364"/>
      <c r="F230" s="364"/>
      <c r="G230" s="364"/>
      <c r="H230" s="364"/>
      <c r="J230" s="364"/>
      <c r="K230" s="364"/>
    </row>
    <row r="231" ht="12.75" customHeight="1">
      <c r="C231" s="364"/>
      <c r="E231" s="364"/>
      <c r="F231" s="364"/>
      <c r="G231" s="364"/>
      <c r="H231" s="364"/>
      <c r="J231" s="364"/>
      <c r="K231" s="364"/>
    </row>
    <row r="232" ht="12.75" customHeight="1">
      <c r="C232" s="364"/>
      <c r="E232" s="364"/>
      <c r="F232" s="364"/>
      <c r="G232" s="364"/>
      <c r="H232" s="364"/>
      <c r="J232" s="364"/>
      <c r="K232" s="364"/>
    </row>
    <row r="233" ht="12.75" customHeight="1">
      <c r="C233" s="364"/>
      <c r="E233" s="364"/>
      <c r="F233" s="364"/>
      <c r="G233" s="364"/>
      <c r="H233" s="364"/>
      <c r="J233" s="364"/>
      <c r="K233" s="364"/>
    </row>
    <row r="234" ht="12.75" customHeight="1">
      <c r="C234" s="364"/>
      <c r="E234" s="364"/>
      <c r="F234" s="364"/>
      <c r="G234" s="364"/>
      <c r="H234" s="364"/>
      <c r="J234" s="364"/>
      <c r="K234" s="364"/>
    </row>
    <row r="235" ht="12.75" customHeight="1">
      <c r="C235" s="364"/>
      <c r="E235" s="364"/>
      <c r="F235" s="364"/>
      <c r="G235" s="364"/>
      <c r="H235" s="364"/>
      <c r="J235" s="364"/>
      <c r="K235" s="364"/>
    </row>
    <row r="236" ht="12.75" customHeight="1">
      <c r="C236" s="364"/>
      <c r="E236" s="364"/>
      <c r="F236" s="364"/>
      <c r="G236" s="364"/>
      <c r="H236" s="364"/>
      <c r="J236" s="364"/>
      <c r="K236" s="364"/>
    </row>
    <row r="237" ht="12.75" customHeight="1">
      <c r="C237" s="364"/>
      <c r="E237" s="364"/>
      <c r="F237" s="364"/>
      <c r="G237" s="364"/>
      <c r="H237" s="364"/>
      <c r="J237" s="364"/>
      <c r="K237" s="364"/>
    </row>
    <row r="238" ht="12.75" customHeight="1">
      <c r="C238" s="364"/>
      <c r="E238" s="364"/>
      <c r="F238" s="364"/>
      <c r="G238" s="364"/>
      <c r="H238" s="364"/>
      <c r="J238" s="364"/>
      <c r="K238" s="364"/>
    </row>
    <row r="239" ht="12.75" customHeight="1">
      <c r="C239" s="364"/>
      <c r="E239" s="364"/>
      <c r="F239" s="364"/>
      <c r="G239" s="364"/>
      <c r="H239" s="364"/>
      <c r="J239" s="364"/>
      <c r="K239" s="364"/>
    </row>
    <row r="240" ht="12.75" customHeight="1">
      <c r="C240" s="364"/>
      <c r="E240" s="364"/>
      <c r="F240" s="364"/>
      <c r="G240" s="364"/>
      <c r="H240" s="364"/>
      <c r="J240" s="364"/>
      <c r="K240" s="364"/>
    </row>
    <row r="241" ht="12.75" customHeight="1">
      <c r="C241" s="364"/>
      <c r="E241" s="364"/>
      <c r="F241" s="364"/>
      <c r="G241" s="364"/>
      <c r="H241" s="364"/>
      <c r="J241" s="364"/>
      <c r="K241" s="364"/>
    </row>
    <row r="242" ht="12.75" customHeight="1">
      <c r="C242" s="364"/>
      <c r="E242" s="364"/>
      <c r="F242" s="364"/>
      <c r="G242" s="364"/>
      <c r="H242" s="364"/>
      <c r="J242" s="364"/>
      <c r="K242" s="364"/>
    </row>
    <row r="243" ht="12.75" customHeight="1">
      <c r="C243" s="364"/>
      <c r="E243" s="364"/>
      <c r="F243" s="364"/>
      <c r="G243" s="364"/>
      <c r="H243" s="364"/>
      <c r="J243" s="364"/>
      <c r="K243" s="364"/>
    </row>
    <row r="244" ht="12.75" customHeight="1">
      <c r="C244" s="364"/>
      <c r="E244" s="364"/>
      <c r="F244" s="364"/>
      <c r="G244" s="364"/>
      <c r="H244" s="364"/>
      <c r="J244" s="364"/>
      <c r="K244" s="364"/>
    </row>
    <row r="245" ht="12.75" customHeight="1">
      <c r="C245" s="364"/>
      <c r="E245" s="364"/>
      <c r="F245" s="364"/>
      <c r="G245" s="364"/>
      <c r="H245" s="364"/>
      <c r="J245" s="364"/>
      <c r="K245" s="364"/>
    </row>
    <row r="246" ht="12.75" customHeight="1">
      <c r="C246" s="364"/>
      <c r="E246" s="364"/>
      <c r="F246" s="364"/>
      <c r="G246" s="364"/>
      <c r="H246" s="364"/>
      <c r="J246" s="364"/>
      <c r="K246" s="364"/>
    </row>
    <row r="247" ht="12.75" customHeight="1">
      <c r="C247" s="364"/>
      <c r="E247" s="364"/>
      <c r="F247" s="364"/>
      <c r="G247" s="364"/>
      <c r="H247" s="364"/>
      <c r="J247" s="364"/>
      <c r="K247" s="364"/>
    </row>
    <row r="248" ht="12.75" customHeight="1">
      <c r="C248" s="364"/>
      <c r="E248" s="364"/>
      <c r="F248" s="364"/>
      <c r="G248" s="364"/>
      <c r="H248" s="364"/>
      <c r="J248" s="364"/>
      <c r="K248" s="364"/>
    </row>
    <row r="249" ht="12.75" customHeight="1">
      <c r="C249" s="364"/>
      <c r="E249" s="364"/>
      <c r="F249" s="364"/>
      <c r="G249" s="364"/>
      <c r="H249" s="364"/>
      <c r="J249" s="364"/>
      <c r="K249" s="364"/>
    </row>
    <row r="250" ht="12.75" customHeight="1">
      <c r="C250" s="364"/>
      <c r="E250" s="364"/>
      <c r="F250" s="364"/>
      <c r="G250" s="364"/>
      <c r="H250" s="364"/>
      <c r="J250" s="364"/>
      <c r="K250" s="364"/>
    </row>
    <row r="251" ht="12.75" customHeight="1">
      <c r="C251" s="364"/>
      <c r="E251" s="364"/>
      <c r="F251" s="364"/>
      <c r="G251" s="364"/>
      <c r="H251" s="364"/>
      <c r="J251" s="364"/>
      <c r="K251" s="364"/>
    </row>
    <row r="252" ht="12.75" customHeight="1">
      <c r="C252" s="364"/>
      <c r="E252" s="364"/>
      <c r="F252" s="364"/>
      <c r="G252" s="364"/>
      <c r="H252" s="364"/>
      <c r="J252" s="364"/>
      <c r="K252" s="364"/>
    </row>
    <row r="253" ht="12.75" customHeight="1">
      <c r="C253" s="364"/>
      <c r="E253" s="364"/>
      <c r="F253" s="364"/>
      <c r="G253" s="364"/>
      <c r="H253" s="364"/>
      <c r="J253" s="364"/>
      <c r="K253" s="364"/>
    </row>
    <row r="254" ht="12.75" customHeight="1">
      <c r="C254" s="364"/>
      <c r="E254" s="364"/>
      <c r="F254" s="364"/>
      <c r="G254" s="364"/>
      <c r="H254" s="364"/>
      <c r="J254" s="364"/>
      <c r="K254" s="364"/>
    </row>
    <row r="255" ht="12.75" customHeight="1">
      <c r="C255" s="364"/>
      <c r="E255" s="364"/>
      <c r="F255" s="364"/>
      <c r="G255" s="364"/>
      <c r="H255" s="364"/>
      <c r="J255" s="364"/>
      <c r="K255" s="364"/>
    </row>
    <row r="256" ht="12.75" customHeight="1">
      <c r="C256" s="364"/>
      <c r="E256" s="364"/>
      <c r="F256" s="364"/>
      <c r="G256" s="364"/>
      <c r="H256" s="364"/>
      <c r="J256" s="364"/>
      <c r="K256" s="364"/>
    </row>
    <row r="257" ht="12.75" customHeight="1">
      <c r="C257" s="364"/>
      <c r="E257" s="364"/>
      <c r="F257" s="364"/>
      <c r="G257" s="364"/>
      <c r="H257" s="364"/>
      <c r="J257" s="364"/>
      <c r="K257" s="364"/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N2:O2"/>
    <mergeCell ref="P2:Q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2" width="7.0"/>
    <col customWidth="1" min="3" max="3" width="10.88"/>
    <col customWidth="1" min="4" max="4" width="7.0"/>
    <col customWidth="1" min="5" max="5" width="9.25"/>
    <col customWidth="1" min="6" max="6" width="6.0"/>
    <col customWidth="1" min="7" max="7" width="7.38"/>
    <col customWidth="1" min="8" max="8" width="8.63"/>
    <col customWidth="1" min="9" max="9" width="7.0"/>
    <col customWidth="1" min="10" max="10" width="5.13"/>
    <col customWidth="1" min="11" max="11" width="13.13"/>
    <col customWidth="1" min="12" max="14" width="7.0"/>
    <col customWidth="1" min="15" max="15" width="8.0"/>
    <col customWidth="1" min="16" max="17" width="7.0"/>
    <col customWidth="1" min="18" max="26" width="11.0"/>
  </cols>
  <sheetData>
    <row r="1" ht="13.5" customHeight="1">
      <c r="A1" s="445"/>
      <c r="B1" s="445"/>
      <c r="C1" s="446" t="s">
        <v>202</v>
      </c>
      <c r="D1" s="445"/>
      <c r="E1" s="445"/>
      <c r="F1" s="445"/>
      <c r="G1" s="445"/>
      <c r="H1" s="445"/>
      <c r="I1" s="445"/>
      <c r="J1" s="447"/>
      <c r="K1" s="364"/>
      <c r="O1" s="365"/>
    </row>
    <row r="2" ht="26.25" customHeight="1">
      <c r="A2" s="448" t="s">
        <v>0</v>
      </c>
      <c r="B2" s="449" t="s">
        <v>108</v>
      </c>
      <c r="C2" s="449" t="s">
        <v>108</v>
      </c>
      <c r="D2" s="449" t="s">
        <v>203</v>
      </c>
      <c r="E2" s="449" t="s">
        <v>204</v>
      </c>
      <c r="F2" s="450" t="s">
        <v>205</v>
      </c>
      <c r="G2" s="451" t="s">
        <v>110</v>
      </c>
      <c r="H2" s="451" t="s">
        <v>111</v>
      </c>
      <c r="I2" s="451" t="s">
        <v>113</v>
      </c>
      <c r="J2" s="447"/>
      <c r="K2" s="364"/>
      <c r="N2" s="552" t="s">
        <v>252</v>
      </c>
      <c r="O2" s="16"/>
      <c r="P2" s="552" t="s">
        <v>229</v>
      </c>
      <c r="Q2" s="16"/>
    </row>
    <row r="3" ht="12.75" customHeight="1">
      <c r="A3" s="471" t="s">
        <v>43</v>
      </c>
      <c r="B3" s="472">
        <v>2.0</v>
      </c>
      <c r="C3" s="473">
        <f t="shared" ref="C3:C14" si="1">10*B3</f>
        <v>20</v>
      </c>
      <c r="D3" s="473">
        <v>20.0</v>
      </c>
      <c r="E3" s="473">
        <v>0.0</v>
      </c>
      <c r="F3" s="553">
        <v>0.0</v>
      </c>
      <c r="G3" s="475">
        <f t="shared" ref="G3:G14" si="2">SUM(C3:F3)</f>
        <v>40</v>
      </c>
      <c r="H3" s="475">
        <v>40.0</v>
      </c>
      <c r="I3" s="475">
        <f t="shared" ref="I3:I14" si="3">G3-H3</f>
        <v>0</v>
      </c>
      <c r="J3" s="447"/>
      <c r="K3" s="364"/>
      <c r="N3" s="615">
        <v>40.0</v>
      </c>
      <c r="O3" s="616" t="s">
        <v>36</v>
      </c>
      <c r="P3" s="615">
        <v>40.0</v>
      </c>
      <c r="Q3" s="624" t="s">
        <v>43</v>
      </c>
    </row>
    <row r="4" ht="12.75" customHeight="1">
      <c r="A4" s="476" t="s">
        <v>38</v>
      </c>
      <c r="B4" s="477">
        <v>0.0</v>
      </c>
      <c r="C4" s="481">
        <f t="shared" si="1"/>
        <v>0</v>
      </c>
      <c r="D4" s="478">
        <v>0.0</v>
      </c>
      <c r="E4" s="478">
        <v>0.0</v>
      </c>
      <c r="F4" s="479">
        <v>0.0</v>
      </c>
      <c r="G4" s="480">
        <f t="shared" si="2"/>
        <v>0</v>
      </c>
      <c r="H4" s="480">
        <v>40.0</v>
      </c>
      <c r="I4" s="480">
        <f t="shared" si="3"/>
        <v>-40</v>
      </c>
      <c r="J4" s="447"/>
      <c r="K4" s="364"/>
      <c r="L4" s="389">
        <f>SUM(H3:H14)</f>
        <v>480</v>
      </c>
      <c r="N4" s="618">
        <v>40.0</v>
      </c>
      <c r="O4" s="619" t="s">
        <v>47</v>
      </c>
      <c r="P4" s="618">
        <v>40.0</v>
      </c>
      <c r="Q4" s="625" t="s">
        <v>38</v>
      </c>
    </row>
    <row r="5" ht="12.75" customHeight="1">
      <c r="A5" s="476" t="s">
        <v>31</v>
      </c>
      <c r="B5" s="477">
        <v>1.0</v>
      </c>
      <c r="C5" s="481">
        <f t="shared" si="1"/>
        <v>10</v>
      </c>
      <c r="D5" s="478">
        <v>20.0</v>
      </c>
      <c r="E5" s="478">
        <v>0.0</v>
      </c>
      <c r="F5" s="479">
        <v>0.0</v>
      </c>
      <c r="G5" s="480">
        <f t="shared" si="2"/>
        <v>30</v>
      </c>
      <c r="H5" s="480">
        <v>40.0</v>
      </c>
      <c r="I5" s="480">
        <f t="shared" si="3"/>
        <v>-10</v>
      </c>
      <c r="J5" s="447"/>
      <c r="K5" s="364"/>
      <c r="N5" s="618">
        <v>40.0</v>
      </c>
      <c r="O5" s="619" t="s">
        <v>33</v>
      </c>
      <c r="P5" s="618">
        <v>40.0</v>
      </c>
      <c r="Q5" s="625" t="s">
        <v>30</v>
      </c>
    </row>
    <row r="6" ht="12.75" customHeight="1">
      <c r="A6" s="476" t="s">
        <v>30</v>
      </c>
      <c r="B6" s="477">
        <v>1.0</v>
      </c>
      <c r="C6" s="481">
        <f t="shared" si="1"/>
        <v>10</v>
      </c>
      <c r="D6" s="478">
        <v>20.0</v>
      </c>
      <c r="E6" s="478">
        <v>0.0</v>
      </c>
      <c r="F6" s="479">
        <v>0.0</v>
      </c>
      <c r="G6" s="480">
        <f t="shared" si="2"/>
        <v>30</v>
      </c>
      <c r="H6" s="480">
        <v>40.0</v>
      </c>
      <c r="I6" s="480">
        <f t="shared" si="3"/>
        <v>-10</v>
      </c>
      <c r="J6" s="447"/>
      <c r="K6" s="364"/>
      <c r="N6" s="618">
        <v>40.0</v>
      </c>
      <c r="O6" s="619" t="s">
        <v>31</v>
      </c>
      <c r="P6" s="618">
        <v>40.0</v>
      </c>
      <c r="Q6" s="625" t="s">
        <v>34</v>
      </c>
    </row>
    <row r="7" ht="13.5" customHeight="1">
      <c r="A7" s="476" t="s">
        <v>42</v>
      </c>
      <c r="B7" s="477">
        <v>4.0</v>
      </c>
      <c r="C7" s="481">
        <f t="shared" si="1"/>
        <v>40</v>
      </c>
      <c r="D7" s="478">
        <v>20.0</v>
      </c>
      <c r="E7" s="478">
        <v>50.0</v>
      </c>
      <c r="F7" s="479">
        <v>0.0</v>
      </c>
      <c r="G7" s="480">
        <f t="shared" si="2"/>
        <v>110</v>
      </c>
      <c r="H7" s="480">
        <v>40.0</v>
      </c>
      <c r="I7" s="480">
        <f t="shared" si="3"/>
        <v>70</v>
      </c>
      <c r="J7" s="447"/>
      <c r="K7" s="364"/>
      <c r="N7" s="626">
        <v>40.0</v>
      </c>
      <c r="O7" s="627" t="s">
        <v>42</v>
      </c>
      <c r="P7" s="618">
        <v>40.0</v>
      </c>
      <c r="Q7" s="625" t="s">
        <v>39</v>
      </c>
    </row>
    <row r="8" ht="13.5" customHeight="1">
      <c r="A8" s="476" t="s">
        <v>34</v>
      </c>
      <c r="B8" s="477">
        <v>1.0</v>
      </c>
      <c r="C8" s="481">
        <f t="shared" si="1"/>
        <v>10</v>
      </c>
      <c r="D8" s="478">
        <v>20.0</v>
      </c>
      <c r="E8" s="478">
        <v>0.0</v>
      </c>
      <c r="F8" s="479">
        <v>0.0</v>
      </c>
      <c r="G8" s="480">
        <f t="shared" si="2"/>
        <v>30</v>
      </c>
      <c r="H8" s="480">
        <v>40.0</v>
      </c>
      <c r="I8" s="480">
        <f t="shared" si="3"/>
        <v>-10</v>
      </c>
      <c r="J8" s="447"/>
      <c r="K8" s="364"/>
      <c r="N8" s="563">
        <f>SUM(N3:N7)</f>
        <v>200</v>
      </c>
      <c r="O8" s="564" t="s">
        <v>66</v>
      </c>
      <c r="P8" s="618">
        <v>40.0</v>
      </c>
      <c r="Q8" s="625" t="s">
        <v>35</v>
      </c>
    </row>
    <row r="9" ht="13.5" customHeight="1">
      <c r="A9" s="476" t="s">
        <v>39</v>
      </c>
      <c r="B9" s="477">
        <v>3.0</v>
      </c>
      <c r="C9" s="481">
        <f t="shared" si="1"/>
        <v>30</v>
      </c>
      <c r="D9" s="478">
        <v>20.0</v>
      </c>
      <c r="E9" s="478">
        <v>50.0</v>
      </c>
      <c r="F9" s="479">
        <v>100.0</v>
      </c>
      <c r="G9" s="480">
        <f t="shared" si="2"/>
        <v>200</v>
      </c>
      <c r="H9" s="480">
        <v>40.0</v>
      </c>
      <c r="I9" s="480">
        <f t="shared" si="3"/>
        <v>160</v>
      </c>
      <c r="J9" s="447"/>
      <c r="K9" s="364"/>
      <c r="O9" s="365"/>
      <c r="P9" s="622">
        <v>40.0</v>
      </c>
      <c r="Q9" s="628" t="s">
        <v>37</v>
      </c>
    </row>
    <row r="10" ht="13.5" customHeight="1">
      <c r="A10" s="476" t="s">
        <v>36</v>
      </c>
      <c r="B10" s="477">
        <v>1.0</v>
      </c>
      <c r="C10" s="481">
        <f t="shared" si="1"/>
        <v>10</v>
      </c>
      <c r="D10" s="478">
        <v>0.0</v>
      </c>
      <c r="E10" s="478">
        <v>0.0</v>
      </c>
      <c r="F10" s="478">
        <v>0.0</v>
      </c>
      <c r="G10" s="480">
        <f t="shared" si="2"/>
        <v>10</v>
      </c>
      <c r="H10" s="480">
        <v>40.0</v>
      </c>
      <c r="I10" s="480">
        <f t="shared" si="3"/>
        <v>-30</v>
      </c>
      <c r="J10" s="447"/>
      <c r="K10" s="364"/>
      <c r="O10" s="365"/>
      <c r="P10" s="563">
        <f>SUM(P3:P9)</f>
        <v>280</v>
      </c>
      <c r="Q10" s="568" t="s">
        <v>66</v>
      </c>
    </row>
    <row r="11" ht="12.75" customHeight="1">
      <c r="A11" s="476" t="s">
        <v>35</v>
      </c>
      <c r="B11" s="477">
        <v>0.0</v>
      </c>
      <c r="C11" s="481">
        <f t="shared" si="1"/>
        <v>0</v>
      </c>
      <c r="D11" s="478">
        <v>0.0</v>
      </c>
      <c r="E11" s="478">
        <v>0.0</v>
      </c>
      <c r="F11" s="478">
        <v>0.0</v>
      </c>
      <c r="G11" s="480">
        <f t="shared" si="2"/>
        <v>0</v>
      </c>
      <c r="H11" s="480">
        <v>40.0</v>
      </c>
      <c r="I11" s="480">
        <f t="shared" si="3"/>
        <v>-40</v>
      </c>
      <c r="J11" s="447"/>
      <c r="K11" s="364"/>
      <c r="O11" s="365"/>
    </row>
    <row r="12" ht="12.75" customHeight="1">
      <c r="A12" s="476" t="s">
        <v>254</v>
      </c>
      <c r="B12" s="477">
        <v>0.0</v>
      </c>
      <c r="C12" s="481">
        <f t="shared" si="1"/>
        <v>0</v>
      </c>
      <c r="D12" s="478">
        <v>0.0</v>
      </c>
      <c r="E12" s="478">
        <v>0.0</v>
      </c>
      <c r="F12" s="478">
        <v>0.0</v>
      </c>
      <c r="G12" s="480">
        <f t="shared" si="2"/>
        <v>0</v>
      </c>
      <c r="H12" s="480">
        <v>40.0</v>
      </c>
      <c r="I12" s="480">
        <f t="shared" si="3"/>
        <v>-40</v>
      </c>
      <c r="J12" s="447"/>
      <c r="K12" s="364"/>
      <c r="O12" s="365"/>
    </row>
    <row r="13" ht="12.75" customHeight="1">
      <c r="A13" s="476" t="s">
        <v>116</v>
      </c>
      <c r="B13" s="477">
        <v>3.0</v>
      </c>
      <c r="C13" s="481">
        <f t="shared" si="1"/>
        <v>30</v>
      </c>
      <c r="D13" s="478">
        <v>0.0</v>
      </c>
      <c r="E13" s="478">
        <v>0.0</v>
      </c>
      <c r="F13" s="478">
        <v>0.0</v>
      </c>
      <c r="G13" s="480">
        <f t="shared" si="2"/>
        <v>30</v>
      </c>
      <c r="H13" s="480">
        <v>40.0</v>
      </c>
      <c r="I13" s="480">
        <f t="shared" si="3"/>
        <v>-10</v>
      </c>
      <c r="J13" s="447"/>
      <c r="K13" s="364"/>
      <c r="O13" s="365"/>
    </row>
    <row r="14" ht="13.5" customHeight="1">
      <c r="A14" s="483" t="s">
        <v>37</v>
      </c>
      <c r="B14" s="484">
        <v>0.0</v>
      </c>
      <c r="C14" s="485">
        <f t="shared" si="1"/>
        <v>0</v>
      </c>
      <c r="D14" s="485">
        <v>0.0</v>
      </c>
      <c r="E14" s="485">
        <v>0.0</v>
      </c>
      <c r="F14" s="485">
        <v>0.0</v>
      </c>
      <c r="G14" s="487">
        <f t="shared" si="2"/>
        <v>0</v>
      </c>
      <c r="H14" s="487">
        <v>40.0</v>
      </c>
      <c r="I14" s="487">
        <f t="shared" si="3"/>
        <v>-40</v>
      </c>
      <c r="J14" s="447"/>
      <c r="K14" s="364"/>
      <c r="O14" s="365"/>
    </row>
    <row r="15" ht="13.5" customHeight="1">
      <c r="A15" s="445"/>
      <c r="B15" s="445"/>
      <c r="C15" s="446" t="s">
        <v>208</v>
      </c>
      <c r="D15" s="445"/>
      <c r="E15" s="445"/>
      <c r="F15" s="445"/>
      <c r="G15" s="445"/>
      <c r="H15" s="445"/>
      <c r="I15" s="445"/>
      <c r="J15" s="447"/>
      <c r="K15" s="364"/>
      <c r="O15" s="365"/>
    </row>
    <row r="16" ht="26.25" customHeight="1">
      <c r="A16" s="448" t="s">
        <v>0</v>
      </c>
      <c r="B16" s="449" t="s">
        <v>108</v>
      </c>
      <c r="C16" s="449" t="s">
        <v>108</v>
      </c>
      <c r="D16" s="449" t="s">
        <v>203</v>
      </c>
      <c r="E16" s="449" t="s">
        <v>204</v>
      </c>
      <c r="F16" s="450" t="s">
        <v>205</v>
      </c>
      <c r="G16" s="451" t="s">
        <v>110</v>
      </c>
      <c r="H16" s="451" t="s">
        <v>111</v>
      </c>
      <c r="I16" s="451" t="s">
        <v>113</v>
      </c>
      <c r="J16" s="447"/>
      <c r="K16" s="364"/>
      <c r="O16" s="365"/>
    </row>
    <row r="17" ht="12.75" customHeight="1">
      <c r="A17" s="471" t="s">
        <v>43</v>
      </c>
      <c r="B17" s="472">
        <v>2.0</v>
      </c>
      <c r="C17" s="473">
        <f t="shared" ref="C17:C28" si="4">B17*10</f>
        <v>20</v>
      </c>
      <c r="D17" s="473">
        <v>20.0</v>
      </c>
      <c r="E17" s="473">
        <v>50.0</v>
      </c>
      <c r="F17" s="553">
        <v>100.0</v>
      </c>
      <c r="G17" s="475">
        <f t="shared" ref="G17:G28" si="5">SUM(C17:F17)</f>
        <v>190</v>
      </c>
      <c r="H17" s="475">
        <v>40.0</v>
      </c>
      <c r="I17" s="475">
        <f t="shared" ref="I17:I28" si="6">G17-H17</f>
        <v>150</v>
      </c>
      <c r="J17" s="447"/>
      <c r="K17" s="364"/>
      <c r="O17" s="365"/>
    </row>
    <row r="18" ht="12.75" customHeight="1">
      <c r="A18" s="476" t="s">
        <v>38</v>
      </c>
      <c r="B18" s="477">
        <v>0.0</v>
      </c>
      <c r="C18" s="478">
        <f t="shared" si="4"/>
        <v>0</v>
      </c>
      <c r="D18" s="478">
        <v>0.0</v>
      </c>
      <c r="E18" s="478">
        <v>0.0</v>
      </c>
      <c r="F18" s="479">
        <v>0.0</v>
      </c>
      <c r="G18" s="480">
        <f t="shared" si="5"/>
        <v>0</v>
      </c>
      <c r="H18" s="480">
        <v>40.0</v>
      </c>
      <c r="I18" s="480">
        <f t="shared" si="6"/>
        <v>-40</v>
      </c>
      <c r="J18" s="447"/>
      <c r="K18" s="364"/>
      <c r="O18" s="365"/>
    </row>
    <row r="19" ht="12.75" customHeight="1">
      <c r="A19" s="476" t="s">
        <v>31</v>
      </c>
      <c r="B19" s="477">
        <v>1.0</v>
      </c>
      <c r="C19" s="481">
        <f t="shared" si="4"/>
        <v>10</v>
      </c>
      <c r="D19" s="478">
        <v>0.0</v>
      </c>
      <c r="E19" s="478">
        <v>0.0</v>
      </c>
      <c r="F19" s="479">
        <v>0.0</v>
      </c>
      <c r="G19" s="480">
        <f t="shared" si="5"/>
        <v>10</v>
      </c>
      <c r="H19" s="480">
        <v>40.0</v>
      </c>
      <c r="I19" s="480">
        <f t="shared" si="6"/>
        <v>-30</v>
      </c>
      <c r="J19" s="447"/>
      <c r="K19" s="364"/>
      <c r="O19" s="365"/>
    </row>
    <row r="20" ht="12.75" customHeight="1">
      <c r="A20" s="476" t="s">
        <v>30</v>
      </c>
      <c r="B20" s="477">
        <v>1.0</v>
      </c>
      <c r="C20" s="478">
        <f t="shared" si="4"/>
        <v>10</v>
      </c>
      <c r="D20" s="478">
        <v>0.0</v>
      </c>
      <c r="E20" s="478">
        <v>0.0</v>
      </c>
      <c r="F20" s="479">
        <v>0.0</v>
      </c>
      <c r="G20" s="480">
        <f t="shared" si="5"/>
        <v>10</v>
      </c>
      <c r="H20" s="480">
        <v>40.0</v>
      </c>
      <c r="I20" s="480">
        <f t="shared" si="6"/>
        <v>-30</v>
      </c>
      <c r="J20" s="447"/>
      <c r="K20" s="364"/>
      <c r="O20" s="365"/>
    </row>
    <row r="21" ht="12.75" customHeight="1">
      <c r="A21" s="476" t="s">
        <v>42</v>
      </c>
      <c r="B21" s="477">
        <v>2.0</v>
      </c>
      <c r="C21" s="481">
        <f t="shared" si="4"/>
        <v>20</v>
      </c>
      <c r="D21" s="478">
        <v>20.0</v>
      </c>
      <c r="E21" s="478">
        <v>0.0</v>
      </c>
      <c r="F21" s="479">
        <v>0.0</v>
      </c>
      <c r="G21" s="480">
        <f t="shared" si="5"/>
        <v>40</v>
      </c>
      <c r="H21" s="480">
        <v>40.0</v>
      </c>
      <c r="I21" s="480">
        <f t="shared" si="6"/>
        <v>0</v>
      </c>
      <c r="J21" s="447"/>
      <c r="K21" s="364"/>
      <c r="O21" s="365"/>
    </row>
    <row r="22" ht="12.75" customHeight="1">
      <c r="A22" s="476" t="s">
        <v>34</v>
      </c>
      <c r="B22" s="477">
        <v>2.0</v>
      </c>
      <c r="C22" s="478">
        <f t="shared" si="4"/>
        <v>20</v>
      </c>
      <c r="D22" s="478">
        <v>20.0</v>
      </c>
      <c r="E22" s="478">
        <v>0.0</v>
      </c>
      <c r="F22" s="479">
        <v>0.0</v>
      </c>
      <c r="G22" s="480">
        <f t="shared" si="5"/>
        <v>40</v>
      </c>
      <c r="H22" s="480">
        <v>40.0</v>
      </c>
      <c r="I22" s="480">
        <f t="shared" si="6"/>
        <v>0</v>
      </c>
      <c r="J22" s="447"/>
      <c r="K22" s="364"/>
      <c r="O22" s="365"/>
    </row>
    <row r="23" ht="12.75" customHeight="1">
      <c r="A23" s="476" t="s">
        <v>39</v>
      </c>
      <c r="B23" s="477">
        <v>0.0</v>
      </c>
      <c r="C23" s="481">
        <f t="shared" si="4"/>
        <v>0</v>
      </c>
      <c r="D23" s="478">
        <v>0.0</v>
      </c>
      <c r="E23" s="478">
        <v>0.0</v>
      </c>
      <c r="F23" s="479">
        <v>0.0</v>
      </c>
      <c r="G23" s="480">
        <f t="shared" si="5"/>
        <v>0</v>
      </c>
      <c r="H23" s="480">
        <v>40.0</v>
      </c>
      <c r="I23" s="480">
        <f t="shared" si="6"/>
        <v>-40</v>
      </c>
      <c r="J23" s="447"/>
      <c r="K23" s="364"/>
      <c r="O23" s="365"/>
    </row>
    <row r="24" ht="12.75" customHeight="1">
      <c r="A24" s="476" t="s">
        <v>36</v>
      </c>
      <c r="B24" s="477">
        <v>0.0</v>
      </c>
      <c r="C24" s="481">
        <f t="shared" si="4"/>
        <v>0</v>
      </c>
      <c r="D24" s="478">
        <v>0.0</v>
      </c>
      <c r="E24" s="478">
        <v>0.0</v>
      </c>
      <c r="F24" s="479">
        <v>0.0</v>
      </c>
      <c r="G24" s="480">
        <f t="shared" si="5"/>
        <v>0</v>
      </c>
      <c r="H24" s="480">
        <v>40.0</v>
      </c>
      <c r="I24" s="480">
        <f t="shared" si="6"/>
        <v>-40</v>
      </c>
      <c r="J24" s="447"/>
      <c r="K24" s="364"/>
      <c r="O24" s="365"/>
    </row>
    <row r="25" ht="12.75" customHeight="1">
      <c r="A25" s="476" t="s">
        <v>35</v>
      </c>
      <c r="B25" s="477">
        <v>2.0</v>
      </c>
      <c r="C25" s="481">
        <f t="shared" si="4"/>
        <v>20</v>
      </c>
      <c r="D25" s="478">
        <v>0.0</v>
      </c>
      <c r="E25" s="478">
        <v>0.0</v>
      </c>
      <c r="F25" s="479">
        <v>0.0</v>
      </c>
      <c r="G25" s="480">
        <f t="shared" si="5"/>
        <v>20</v>
      </c>
      <c r="H25" s="480">
        <v>40.0</v>
      </c>
      <c r="I25" s="480">
        <f t="shared" si="6"/>
        <v>-20</v>
      </c>
      <c r="J25" s="447"/>
      <c r="K25" s="364"/>
      <c r="O25" s="365"/>
    </row>
    <row r="26" ht="12.75" customHeight="1">
      <c r="A26" s="476" t="s">
        <v>254</v>
      </c>
      <c r="B26" s="477">
        <v>3.0</v>
      </c>
      <c r="C26" s="478">
        <f t="shared" si="4"/>
        <v>30</v>
      </c>
      <c r="D26" s="478">
        <v>20.0</v>
      </c>
      <c r="E26" s="478">
        <v>0.0</v>
      </c>
      <c r="F26" s="479">
        <v>0.0</v>
      </c>
      <c r="G26" s="480">
        <f t="shared" si="5"/>
        <v>50</v>
      </c>
      <c r="H26" s="480">
        <v>40.0</v>
      </c>
      <c r="I26" s="480">
        <f t="shared" si="6"/>
        <v>10</v>
      </c>
      <c r="J26" s="447"/>
      <c r="K26" s="364"/>
      <c r="O26" s="365"/>
    </row>
    <row r="27" ht="12.75" customHeight="1">
      <c r="A27" s="476" t="s">
        <v>116</v>
      </c>
      <c r="B27" s="477">
        <v>1.0</v>
      </c>
      <c r="C27" s="481">
        <f t="shared" si="4"/>
        <v>10</v>
      </c>
      <c r="D27" s="478">
        <v>20.0</v>
      </c>
      <c r="E27" s="478">
        <v>0.0</v>
      </c>
      <c r="F27" s="479">
        <v>0.0</v>
      </c>
      <c r="G27" s="480">
        <f t="shared" si="5"/>
        <v>30</v>
      </c>
      <c r="H27" s="480">
        <v>40.0</v>
      </c>
      <c r="I27" s="480">
        <f t="shared" si="6"/>
        <v>-10</v>
      </c>
      <c r="J27" s="447"/>
      <c r="K27" s="364"/>
      <c r="O27" s="365"/>
    </row>
    <row r="28" ht="13.5" customHeight="1">
      <c r="A28" s="483" t="s">
        <v>37</v>
      </c>
      <c r="B28" s="484">
        <v>2.0</v>
      </c>
      <c r="C28" s="485">
        <f t="shared" si="4"/>
        <v>20</v>
      </c>
      <c r="D28" s="485">
        <v>20.0</v>
      </c>
      <c r="E28" s="485">
        <v>50.0</v>
      </c>
      <c r="F28" s="486">
        <v>0.0</v>
      </c>
      <c r="G28" s="487">
        <f t="shared" si="5"/>
        <v>90</v>
      </c>
      <c r="H28" s="487">
        <v>40.0</v>
      </c>
      <c r="I28" s="487">
        <f t="shared" si="6"/>
        <v>50</v>
      </c>
      <c r="J28" s="447"/>
      <c r="K28" s="364"/>
      <c r="O28" s="365"/>
    </row>
    <row r="29" ht="12.75" customHeight="1">
      <c r="A29" s="447"/>
      <c r="B29" s="447"/>
      <c r="C29" s="447"/>
      <c r="D29" s="447"/>
      <c r="E29" s="447"/>
      <c r="F29" s="447"/>
      <c r="G29" s="447"/>
      <c r="H29" s="447"/>
      <c r="I29" s="447"/>
      <c r="J29" s="447"/>
      <c r="K29" s="364"/>
      <c r="O29" s="365"/>
    </row>
    <row r="30" ht="13.5" customHeight="1">
      <c r="C30" s="389">
        <f t="shared" ref="C30:F30" si="7">SUM(C17:C28)</f>
        <v>160</v>
      </c>
      <c r="D30" s="389">
        <f t="shared" si="7"/>
        <v>120</v>
      </c>
      <c r="E30" s="389">
        <f t="shared" si="7"/>
        <v>100</v>
      </c>
      <c r="F30" s="389">
        <f t="shared" si="7"/>
        <v>100</v>
      </c>
      <c r="G30" s="389"/>
      <c r="H30" s="364"/>
      <c r="J30" s="364"/>
      <c r="K30" s="364"/>
      <c r="O30" s="365"/>
    </row>
    <row r="31" ht="23.25" customHeight="1">
      <c r="A31" s="488" t="s">
        <v>118</v>
      </c>
      <c r="B31" s="489" t="s">
        <v>0</v>
      </c>
      <c r="C31" s="489" t="s">
        <v>119</v>
      </c>
      <c r="D31" s="489" t="s">
        <v>114</v>
      </c>
      <c r="E31" s="490" t="s">
        <v>120</v>
      </c>
      <c r="F31" s="364"/>
      <c r="G31" s="364"/>
      <c r="H31" s="364"/>
      <c r="J31" s="611" t="s">
        <v>123</v>
      </c>
      <c r="K31" s="423" t="s">
        <v>124</v>
      </c>
      <c r="L31" s="612" t="s">
        <v>125</v>
      </c>
      <c r="M31" s="612" t="s">
        <v>126</v>
      </c>
      <c r="N31" s="612" t="s">
        <v>127</v>
      </c>
      <c r="O31" s="612" t="s">
        <v>128</v>
      </c>
      <c r="P31" s="612" t="s">
        <v>129</v>
      </c>
      <c r="Q31" s="613" t="s">
        <v>130</v>
      </c>
    </row>
    <row r="32" ht="12.75" customHeight="1">
      <c r="A32" s="494" t="s">
        <v>121</v>
      </c>
      <c r="B32" s="570" t="s">
        <v>31</v>
      </c>
      <c r="C32" s="571">
        <v>10.0</v>
      </c>
      <c r="D32" s="570" t="s">
        <v>122</v>
      </c>
      <c r="E32" s="572">
        <v>166.5</v>
      </c>
      <c r="F32" s="364"/>
      <c r="G32" s="364"/>
      <c r="H32" s="364"/>
      <c r="J32" s="522">
        <v>1.0</v>
      </c>
      <c r="K32" s="600" t="s">
        <v>143</v>
      </c>
      <c r="L32" s="594">
        <v>9.0</v>
      </c>
      <c r="M32" s="594">
        <v>4.0</v>
      </c>
      <c r="N32" s="594">
        <v>0.0</v>
      </c>
      <c r="O32" s="595">
        <v>0.0</v>
      </c>
      <c r="P32" s="594">
        <v>1565.5</v>
      </c>
      <c r="Q32" s="596">
        <v>1395.5</v>
      </c>
    </row>
    <row r="33" ht="12.75" customHeight="1">
      <c r="A33" s="504" t="s">
        <v>132</v>
      </c>
      <c r="B33" s="577" t="s">
        <v>43</v>
      </c>
      <c r="C33" s="578">
        <v>10.0</v>
      </c>
      <c r="D33" s="577" t="s">
        <v>122</v>
      </c>
      <c r="E33" s="579">
        <v>138.0</v>
      </c>
      <c r="F33" s="364"/>
      <c r="G33" s="364"/>
      <c r="H33" s="364"/>
      <c r="J33" s="527">
        <v>2.0</v>
      </c>
      <c r="K33" s="600" t="s">
        <v>211</v>
      </c>
      <c r="L33" s="594">
        <v>9.0</v>
      </c>
      <c r="M33" s="594">
        <v>4.0</v>
      </c>
      <c r="N33" s="594">
        <v>0.0</v>
      </c>
      <c r="O33" s="598">
        <v>0.0</v>
      </c>
      <c r="P33" s="597">
        <v>1544.5</v>
      </c>
      <c r="Q33" s="599">
        <v>1454.5</v>
      </c>
    </row>
    <row r="34" ht="12.75" customHeight="1">
      <c r="A34" s="504" t="s">
        <v>134</v>
      </c>
      <c r="B34" s="577" t="s">
        <v>42</v>
      </c>
      <c r="C34" s="578">
        <v>10.0</v>
      </c>
      <c r="D34" s="577" t="s">
        <v>122</v>
      </c>
      <c r="E34" s="579">
        <v>140.5</v>
      </c>
      <c r="F34" s="364"/>
      <c r="G34" s="364"/>
      <c r="H34" s="364"/>
      <c r="J34" s="527">
        <v>3.0</v>
      </c>
      <c r="K34" s="593" t="s">
        <v>267</v>
      </c>
      <c r="L34" s="594">
        <v>9.0</v>
      </c>
      <c r="M34" s="594">
        <v>4.0</v>
      </c>
      <c r="N34" s="594">
        <v>0.0</v>
      </c>
      <c r="O34" s="598">
        <v>0.0</v>
      </c>
      <c r="P34" s="597">
        <v>1491.5</v>
      </c>
      <c r="Q34" s="599">
        <v>1345.0</v>
      </c>
    </row>
    <row r="35" ht="12.75" customHeight="1">
      <c r="A35" s="504" t="s">
        <v>136</v>
      </c>
      <c r="B35" s="577" t="s">
        <v>42</v>
      </c>
      <c r="C35" s="578">
        <v>10.0</v>
      </c>
      <c r="D35" s="586" t="s">
        <v>122</v>
      </c>
      <c r="E35" s="579">
        <v>143.5</v>
      </c>
      <c r="F35" s="364" t="s">
        <v>268</v>
      </c>
      <c r="G35" s="364"/>
      <c r="H35" s="364"/>
      <c r="J35" s="527">
        <v>4.0</v>
      </c>
      <c r="K35" s="593" t="s">
        <v>269</v>
      </c>
      <c r="L35" s="594">
        <v>8.0</v>
      </c>
      <c r="M35" s="594">
        <v>5.0</v>
      </c>
      <c r="N35" s="594">
        <v>0.0</v>
      </c>
      <c r="O35" s="598">
        <v>1.0</v>
      </c>
      <c r="P35" s="597">
        <v>1589.5</v>
      </c>
      <c r="Q35" s="599">
        <v>1408.5</v>
      </c>
    </row>
    <row r="36" ht="12.75" customHeight="1">
      <c r="A36" s="504" t="s">
        <v>138</v>
      </c>
      <c r="B36" s="577" t="s">
        <v>39</v>
      </c>
      <c r="C36" s="578">
        <v>10.0</v>
      </c>
      <c r="D36" s="577" t="s">
        <v>122</v>
      </c>
      <c r="E36" s="579">
        <v>150.0</v>
      </c>
      <c r="F36" s="364"/>
      <c r="G36" s="364"/>
      <c r="H36" s="364"/>
      <c r="J36" s="522">
        <v>5.0</v>
      </c>
      <c r="K36" s="593" t="s">
        <v>270</v>
      </c>
      <c r="L36" s="594">
        <v>8.0</v>
      </c>
      <c r="M36" s="594">
        <v>5.0</v>
      </c>
      <c r="N36" s="594">
        <v>0.0</v>
      </c>
      <c r="O36" s="595">
        <v>1.0</v>
      </c>
      <c r="P36" s="597">
        <v>1481.5</v>
      </c>
      <c r="Q36" s="596">
        <v>1412.5</v>
      </c>
    </row>
    <row r="37" ht="13.5" customHeight="1">
      <c r="A37" s="504" t="s">
        <v>140</v>
      </c>
      <c r="B37" s="577" t="s">
        <v>36</v>
      </c>
      <c r="C37" s="578">
        <v>10.0</v>
      </c>
      <c r="D37" s="577" t="s">
        <v>122</v>
      </c>
      <c r="E37" s="579">
        <v>150.5</v>
      </c>
      <c r="F37" s="364"/>
      <c r="G37" s="364"/>
      <c r="H37" s="364"/>
      <c r="J37" s="614">
        <v>6.0</v>
      </c>
      <c r="K37" s="601" t="s">
        <v>261</v>
      </c>
      <c r="L37" s="602">
        <v>8.0</v>
      </c>
      <c r="M37" s="602">
        <v>5.0</v>
      </c>
      <c r="N37" s="602">
        <v>0.0</v>
      </c>
      <c r="O37" s="603">
        <v>1.0</v>
      </c>
      <c r="P37" s="602">
        <v>1292.0</v>
      </c>
      <c r="Q37" s="604">
        <v>1326.5</v>
      </c>
    </row>
    <row r="38" ht="12.75" customHeight="1">
      <c r="A38" s="504" t="s">
        <v>142</v>
      </c>
      <c r="B38" s="577" t="s">
        <v>116</v>
      </c>
      <c r="C38" s="578">
        <v>10.0</v>
      </c>
      <c r="D38" s="577" t="s">
        <v>122</v>
      </c>
      <c r="E38" s="579">
        <v>143.0</v>
      </c>
      <c r="F38" s="364"/>
      <c r="G38" s="364"/>
      <c r="H38" s="364"/>
      <c r="J38" s="522">
        <v>7.0</v>
      </c>
      <c r="K38" s="593" t="s">
        <v>151</v>
      </c>
      <c r="L38" s="594">
        <v>7.0</v>
      </c>
      <c r="M38" s="594">
        <v>6.0</v>
      </c>
      <c r="N38" s="594">
        <v>0.0</v>
      </c>
      <c r="O38" s="595">
        <v>2.0</v>
      </c>
      <c r="P38" s="594">
        <v>1576.0</v>
      </c>
      <c r="Q38" s="596">
        <v>1580.0</v>
      </c>
    </row>
    <row r="39" ht="12.75" customHeight="1">
      <c r="A39" s="504" t="s">
        <v>144</v>
      </c>
      <c r="B39" s="577" t="s">
        <v>116</v>
      </c>
      <c r="C39" s="578">
        <v>10.0</v>
      </c>
      <c r="D39" s="577" t="s">
        <v>122</v>
      </c>
      <c r="E39" s="579">
        <v>170.5</v>
      </c>
      <c r="F39" s="364"/>
      <c r="G39" s="364"/>
      <c r="H39" s="364"/>
      <c r="J39" s="527">
        <v>8.0</v>
      </c>
      <c r="K39" s="593" t="s">
        <v>149</v>
      </c>
      <c r="L39" s="594">
        <v>6.0</v>
      </c>
      <c r="M39" s="594">
        <v>7.0</v>
      </c>
      <c r="N39" s="597">
        <v>0.0</v>
      </c>
      <c r="O39" s="598">
        <v>3.0</v>
      </c>
      <c r="P39" s="597">
        <v>1461.0</v>
      </c>
      <c r="Q39" s="599">
        <v>1495.0</v>
      </c>
    </row>
    <row r="40" ht="12.75" customHeight="1">
      <c r="A40" s="504" t="s">
        <v>146</v>
      </c>
      <c r="B40" s="577" t="s">
        <v>30</v>
      </c>
      <c r="C40" s="578">
        <v>10.0</v>
      </c>
      <c r="D40" s="577" t="s">
        <v>122</v>
      </c>
      <c r="E40" s="579">
        <v>148.5</v>
      </c>
      <c r="F40" s="364"/>
      <c r="G40" s="364"/>
      <c r="H40" s="364"/>
      <c r="J40" s="522">
        <v>9.0</v>
      </c>
      <c r="K40" s="600" t="s">
        <v>209</v>
      </c>
      <c r="L40" s="594">
        <v>6.0</v>
      </c>
      <c r="M40" s="594">
        <v>7.0</v>
      </c>
      <c r="N40" s="597">
        <v>0.0</v>
      </c>
      <c r="O40" s="595">
        <v>3.0</v>
      </c>
      <c r="P40" s="594">
        <v>1459.5</v>
      </c>
      <c r="Q40" s="599">
        <v>1418.5</v>
      </c>
    </row>
    <row r="41" ht="12.75" customHeight="1">
      <c r="A41" s="504" t="s">
        <v>148</v>
      </c>
      <c r="B41" s="577" t="s">
        <v>43</v>
      </c>
      <c r="C41" s="578">
        <v>10.0</v>
      </c>
      <c r="D41" s="577" t="s">
        <v>122</v>
      </c>
      <c r="E41" s="579">
        <v>193.5</v>
      </c>
      <c r="F41" s="364"/>
      <c r="G41" s="364"/>
      <c r="H41" s="364"/>
      <c r="J41" s="527">
        <v>10.0</v>
      </c>
      <c r="K41" s="600" t="s">
        <v>271</v>
      </c>
      <c r="L41" s="594">
        <v>4.0</v>
      </c>
      <c r="M41" s="594">
        <v>9.0</v>
      </c>
      <c r="N41" s="597">
        <v>0.0</v>
      </c>
      <c r="O41" s="598">
        <v>5.0</v>
      </c>
      <c r="P41" s="597">
        <v>1350.5</v>
      </c>
      <c r="Q41" s="599">
        <v>1520.0</v>
      </c>
    </row>
    <row r="42" ht="12.75" customHeight="1">
      <c r="A42" s="504" t="s">
        <v>150</v>
      </c>
      <c r="B42" s="577" t="s">
        <v>42</v>
      </c>
      <c r="C42" s="578">
        <v>10.0</v>
      </c>
      <c r="D42" s="577" t="s">
        <v>122</v>
      </c>
      <c r="E42" s="579">
        <v>131.0</v>
      </c>
      <c r="F42" s="364"/>
      <c r="G42" s="364"/>
      <c r="H42" s="364"/>
      <c r="J42" s="532">
        <v>11.0</v>
      </c>
      <c r="K42" s="600" t="s">
        <v>187</v>
      </c>
      <c r="L42" s="594">
        <v>3.0</v>
      </c>
      <c r="M42" s="594">
        <v>10.0</v>
      </c>
      <c r="N42" s="597">
        <v>0.0</v>
      </c>
      <c r="O42" s="598">
        <v>6.0</v>
      </c>
      <c r="P42" s="597">
        <v>1425.0</v>
      </c>
      <c r="Q42" s="599">
        <v>1597.0</v>
      </c>
    </row>
    <row r="43" ht="13.5" customHeight="1">
      <c r="A43" s="504" t="s">
        <v>152</v>
      </c>
      <c r="B43" s="577" t="s">
        <v>34</v>
      </c>
      <c r="C43" s="578">
        <v>10.0</v>
      </c>
      <c r="D43" s="577" t="s">
        <v>122</v>
      </c>
      <c r="E43" s="579">
        <v>158.0</v>
      </c>
      <c r="F43" s="364"/>
      <c r="G43" s="364"/>
      <c r="H43" s="364"/>
      <c r="J43" s="533">
        <v>12.0</v>
      </c>
      <c r="K43" s="601" t="s">
        <v>264</v>
      </c>
      <c r="L43" s="602">
        <v>1.0</v>
      </c>
      <c r="M43" s="602">
        <v>12.0</v>
      </c>
      <c r="N43" s="602">
        <v>0.0</v>
      </c>
      <c r="O43" s="603">
        <v>8.0</v>
      </c>
      <c r="P43" s="602">
        <v>1251.5</v>
      </c>
      <c r="Q43" s="604">
        <v>1535.0</v>
      </c>
    </row>
    <row r="44" ht="13.5" customHeight="1">
      <c r="A44" s="538" t="s">
        <v>154</v>
      </c>
      <c r="B44" s="605" t="s">
        <v>33</v>
      </c>
      <c r="C44" s="606">
        <v>10.0</v>
      </c>
      <c r="D44" s="605" t="s">
        <v>122</v>
      </c>
      <c r="E44" s="607">
        <v>163.5</v>
      </c>
      <c r="F44" s="364"/>
      <c r="G44" s="364"/>
      <c r="H44" s="364"/>
      <c r="J44" s="364"/>
      <c r="K44" s="364"/>
      <c r="O44" s="365"/>
    </row>
    <row r="45" ht="12.75" customHeight="1">
      <c r="A45" s="542" t="s">
        <v>156</v>
      </c>
      <c r="B45" s="608" t="s">
        <v>42</v>
      </c>
      <c r="C45" s="609">
        <v>10.0</v>
      </c>
      <c r="D45" s="608" t="s">
        <v>122</v>
      </c>
      <c r="E45" s="610">
        <v>167.0</v>
      </c>
      <c r="F45" s="364"/>
      <c r="G45" s="364"/>
      <c r="H45" s="364"/>
      <c r="J45" s="364"/>
      <c r="K45" s="364"/>
      <c r="O45" s="365"/>
    </row>
    <row r="46" ht="12.75" customHeight="1">
      <c r="A46" s="504" t="s">
        <v>219</v>
      </c>
      <c r="B46" s="577" t="s">
        <v>39</v>
      </c>
      <c r="C46" s="578">
        <v>10.0</v>
      </c>
      <c r="D46" s="577" t="s">
        <v>122</v>
      </c>
      <c r="E46" s="579">
        <v>136.0</v>
      </c>
      <c r="F46" s="364"/>
      <c r="G46" s="364"/>
      <c r="H46" s="364"/>
      <c r="J46" s="364"/>
      <c r="K46" s="364"/>
      <c r="O46" s="365"/>
    </row>
    <row r="47" ht="12.75" customHeight="1">
      <c r="A47" s="504" t="s">
        <v>220</v>
      </c>
      <c r="B47" s="577" t="s">
        <v>39</v>
      </c>
      <c r="C47" s="578">
        <v>10.0</v>
      </c>
      <c r="D47" s="577" t="s">
        <v>122</v>
      </c>
      <c r="E47" s="579">
        <v>86.0</v>
      </c>
      <c r="F47" s="364"/>
      <c r="G47" s="364"/>
      <c r="H47" s="546"/>
      <c r="J47" s="364"/>
      <c r="K47" s="364"/>
      <c r="O47" s="365"/>
    </row>
    <row r="48" ht="12.75" customHeight="1">
      <c r="A48" s="504" t="s">
        <v>221</v>
      </c>
      <c r="B48" s="577" t="s">
        <v>42</v>
      </c>
      <c r="C48" s="578">
        <v>20.0</v>
      </c>
      <c r="D48" s="577" t="s">
        <v>122</v>
      </c>
      <c r="E48" s="579" t="s">
        <v>197</v>
      </c>
      <c r="F48" s="364"/>
      <c r="G48" s="364"/>
      <c r="H48" s="546"/>
      <c r="I48" s="546"/>
      <c r="J48" s="364"/>
      <c r="K48" s="364"/>
      <c r="O48" s="365"/>
    </row>
    <row r="49" ht="12.75" customHeight="1">
      <c r="A49" s="504" t="s">
        <v>222</v>
      </c>
      <c r="B49" s="577" t="s">
        <v>39</v>
      </c>
      <c r="C49" s="578">
        <v>20.0</v>
      </c>
      <c r="D49" s="577" t="s">
        <v>122</v>
      </c>
      <c r="E49" s="579" t="s">
        <v>197</v>
      </c>
      <c r="F49" s="364"/>
      <c r="G49" s="364"/>
      <c r="H49" s="364"/>
      <c r="I49" s="546"/>
      <c r="J49" s="364"/>
      <c r="K49" s="364"/>
      <c r="O49" s="365"/>
    </row>
    <row r="50" ht="12.75" customHeight="1">
      <c r="A50" s="504" t="s">
        <v>223</v>
      </c>
      <c r="B50" s="577" t="s">
        <v>31</v>
      </c>
      <c r="C50" s="578">
        <v>20.0</v>
      </c>
      <c r="D50" s="577" t="s">
        <v>122</v>
      </c>
      <c r="E50" s="579" t="s">
        <v>197</v>
      </c>
      <c r="F50" s="364"/>
      <c r="G50" s="364"/>
      <c r="H50" s="364"/>
      <c r="I50" s="546"/>
      <c r="J50" s="364"/>
      <c r="K50" s="364"/>
      <c r="O50" s="365"/>
    </row>
    <row r="51" ht="12.75" customHeight="1">
      <c r="A51" s="504" t="s">
        <v>224</v>
      </c>
      <c r="B51" s="577" t="s">
        <v>30</v>
      </c>
      <c r="C51" s="578">
        <v>20.0</v>
      </c>
      <c r="D51" s="577" t="s">
        <v>122</v>
      </c>
      <c r="E51" s="579" t="s">
        <v>197</v>
      </c>
      <c r="F51" s="364"/>
      <c r="G51" s="364"/>
      <c r="H51" s="546"/>
      <c r="J51" s="364"/>
      <c r="K51" s="364"/>
      <c r="O51" s="365"/>
    </row>
    <row r="52" ht="12.75" customHeight="1">
      <c r="A52" s="504" t="s">
        <v>225</v>
      </c>
      <c r="B52" s="577" t="s">
        <v>34</v>
      </c>
      <c r="C52" s="578">
        <v>20.0</v>
      </c>
      <c r="D52" s="577" t="s">
        <v>122</v>
      </c>
      <c r="E52" s="579" t="s">
        <v>197</v>
      </c>
      <c r="F52" s="364"/>
      <c r="G52" s="364"/>
      <c r="H52" s="364"/>
      <c r="J52" s="364"/>
      <c r="K52" s="364"/>
      <c r="O52" s="365"/>
    </row>
    <row r="53" ht="12.75" customHeight="1">
      <c r="A53" s="504" t="s">
        <v>226</v>
      </c>
      <c r="B53" s="577" t="s">
        <v>43</v>
      </c>
      <c r="C53" s="578">
        <v>20.0</v>
      </c>
      <c r="D53" s="577" t="s">
        <v>122</v>
      </c>
      <c r="E53" s="579" t="s">
        <v>197</v>
      </c>
      <c r="F53" s="364"/>
      <c r="G53" s="364"/>
      <c r="H53" s="364"/>
      <c r="J53" s="364"/>
      <c r="K53" s="364"/>
      <c r="O53" s="365"/>
    </row>
    <row r="54" ht="12.75" customHeight="1">
      <c r="A54" s="504" t="s">
        <v>227</v>
      </c>
      <c r="B54" s="577" t="s">
        <v>39</v>
      </c>
      <c r="C54" s="578">
        <v>50.0</v>
      </c>
      <c r="D54" s="577" t="s">
        <v>122</v>
      </c>
      <c r="E54" s="579" t="s">
        <v>197</v>
      </c>
      <c r="F54" s="364"/>
      <c r="G54" s="364"/>
      <c r="H54" s="364"/>
      <c r="J54" s="364"/>
      <c r="K54" s="364"/>
      <c r="O54" s="365"/>
    </row>
    <row r="55" ht="12.75" customHeight="1">
      <c r="A55" s="504" t="s">
        <v>228</v>
      </c>
      <c r="B55" s="577" t="s">
        <v>42</v>
      </c>
      <c r="C55" s="578">
        <v>50.0</v>
      </c>
      <c r="D55" s="577" t="s">
        <v>122</v>
      </c>
      <c r="E55" s="579" t="s">
        <v>197</v>
      </c>
      <c r="F55" s="364"/>
      <c r="G55" s="364"/>
      <c r="H55" s="364"/>
      <c r="J55" s="364"/>
      <c r="K55" s="364"/>
      <c r="O55" s="365"/>
    </row>
    <row r="56" ht="13.5" customHeight="1">
      <c r="A56" s="538" t="s">
        <v>79</v>
      </c>
      <c r="B56" s="605" t="s">
        <v>39</v>
      </c>
      <c r="C56" s="606">
        <v>100.0</v>
      </c>
      <c r="D56" s="605" t="s">
        <v>122</v>
      </c>
      <c r="E56" s="607" t="s">
        <v>197</v>
      </c>
      <c r="F56" s="364"/>
      <c r="G56" s="364"/>
      <c r="H56" s="364"/>
      <c r="J56" s="364"/>
      <c r="K56" s="364"/>
      <c r="O56" s="365"/>
    </row>
    <row r="57" ht="12.75" customHeight="1">
      <c r="C57" s="549">
        <f>SUM(C32:C56)</f>
        <v>480</v>
      </c>
      <c r="E57" s="364"/>
      <c r="F57" s="364"/>
      <c r="G57" s="364"/>
      <c r="H57" s="364"/>
      <c r="J57" s="364"/>
      <c r="K57" s="364"/>
      <c r="O57" s="365"/>
    </row>
    <row r="58" ht="12.75" customHeight="1">
      <c r="C58" s="364"/>
      <c r="E58" s="364"/>
      <c r="F58" s="364"/>
      <c r="G58" s="364"/>
      <c r="H58" s="364"/>
      <c r="J58" s="364"/>
      <c r="K58" s="364"/>
      <c r="O58" s="365"/>
    </row>
    <row r="59" ht="12.75" customHeight="1">
      <c r="C59" s="364"/>
      <c r="E59" s="364"/>
      <c r="F59" s="364"/>
      <c r="G59" s="364"/>
      <c r="H59" s="364"/>
      <c r="J59" s="364"/>
      <c r="K59" s="364"/>
      <c r="O59" s="365"/>
    </row>
    <row r="60" ht="12.75" customHeight="1">
      <c r="C60" s="364"/>
      <c r="E60" s="364"/>
      <c r="F60" s="364"/>
      <c r="G60" s="364"/>
      <c r="H60" s="364"/>
      <c r="J60" s="364"/>
      <c r="K60" s="364"/>
      <c r="O60" s="365"/>
    </row>
    <row r="61" ht="12.75" customHeight="1">
      <c r="C61" s="364"/>
      <c r="E61" s="364"/>
      <c r="F61" s="364"/>
      <c r="G61" s="364"/>
      <c r="H61" s="364"/>
      <c r="J61" s="364"/>
      <c r="K61" s="364"/>
      <c r="O61" s="365"/>
    </row>
    <row r="62" ht="12.75" customHeight="1">
      <c r="C62" s="364"/>
      <c r="E62" s="364"/>
      <c r="F62" s="364"/>
      <c r="G62" s="364"/>
      <c r="H62" s="364"/>
      <c r="J62" s="364"/>
      <c r="K62" s="364"/>
      <c r="O62" s="365"/>
    </row>
    <row r="63" ht="12.75" customHeight="1">
      <c r="C63" s="364"/>
      <c r="E63" s="364"/>
      <c r="F63" s="364"/>
      <c r="G63" s="364"/>
      <c r="H63" s="364"/>
      <c r="J63" s="364"/>
      <c r="K63" s="364"/>
      <c r="O63" s="365"/>
    </row>
    <row r="64" ht="12.75" customHeight="1">
      <c r="C64" s="364"/>
      <c r="E64" s="364"/>
      <c r="F64" s="364"/>
      <c r="G64" s="364"/>
      <c r="H64" s="364"/>
      <c r="J64" s="364"/>
      <c r="K64" s="364"/>
      <c r="O64" s="365"/>
    </row>
    <row r="65" ht="12.75" customHeight="1">
      <c r="C65" s="364"/>
      <c r="E65" s="364"/>
      <c r="F65" s="364"/>
      <c r="G65" s="364"/>
      <c r="H65" s="364"/>
      <c r="J65" s="364"/>
      <c r="K65" s="364"/>
      <c r="O65" s="365"/>
    </row>
    <row r="66" ht="12.75" customHeight="1">
      <c r="C66" s="364"/>
      <c r="E66" s="364"/>
      <c r="F66" s="364"/>
      <c r="G66" s="364"/>
      <c r="H66" s="364"/>
      <c r="J66" s="364"/>
      <c r="K66" s="364"/>
      <c r="O66" s="365"/>
    </row>
    <row r="67" ht="12.75" customHeight="1">
      <c r="C67" s="364"/>
      <c r="E67" s="364"/>
      <c r="F67" s="364"/>
      <c r="G67" s="364"/>
      <c r="H67" s="364"/>
      <c r="J67" s="364"/>
      <c r="K67" s="364"/>
      <c r="O67" s="365"/>
    </row>
    <row r="68" ht="12.75" customHeight="1">
      <c r="C68" s="364"/>
      <c r="E68" s="364"/>
      <c r="F68" s="364"/>
      <c r="G68" s="364"/>
      <c r="H68" s="364"/>
      <c r="J68" s="364"/>
      <c r="K68" s="364"/>
      <c r="O68" s="365"/>
    </row>
    <row r="69" ht="12.75" customHeight="1">
      <c r="C69" s="364"/>
      <c r="E69" s="364"/>
      <c r="F69" s="364"/>
      <c r="G69" s="364"/>
      <c r="H69" s="364"/>
      <c r="J69" s="364"/>
      <c r="K69" s="364"/>
      <c r="O69" s="365"/>
    </row>
    <row r="70" ht="12.75" customHeight="1">
      <c r="C70" s="364"/>
      <c r="E70" s="364"/>
      <c r="F70" s="364"/>
      <c r="G70" s="364"/>
      <c r="H70" s="364"/>
      <c r="J70" s="364"/>
      <c r="K70" s="364"/>
      <c r="O70" s="365"/>
    </row>
    <row r="71" ht="12.75" customHeight="1">
      <c r="C71" s="364"/>
      <c r="E71" s="364"/>
      <c r="F71" s="364"/>
      <c r="G71" s="364"/>
      <c r="H71" s="364"/>
      <c r="J71" s="364"/>
      <c r="K71" s="364"/>
      <c r="O71" s="365"/>
    </row>
    <row r="72" ht="12.75" customHeight="1">
      <c r="C72" s="364"/>
      <c r="E72" s="364"/>
      <c r="F72" s="364"/>
      <c r="G72" s="364"/>
      <c r="H72" s="364"/>
      <c r="J72" s="364"/>
      <c r="K72" s="364"/>
      <c r="O72" s="365"/>
    </row>
    <row r="73" ht="12.75" customHeight="1">
      <c r="C73" s="364"/>
      <c r="E73" s="364"/>
      <c r="F73" s="364"/>
      <c r="G73" s="364"/>
      <c r="H73" s="364"/>
      <c r="J73" s="364"/>
      <c r="K73" s="364"/>
      <c r="O73" s="365"/>
    </row>
    <row r="74" ht="12.75" customHeight="1">
      <c r="C74" s="364"/>
      <c r="E74" s="364"/>
      <c r="F74" s="364"/>
      <c r="G74" s="364"/>
      <c r="H74" s="364"/>
      <c r="J74" s="364"/>
      <c r="K74" s="364"/>
      <c r="O74" s="365"/>
    </row>
    <row r="75" ht="12.75" customHeight="1">
      <c r="C75" s="364"/>
      <c r="E75" s="364"/>
      <c r="F75" s="364"/>
      <c r="G75" s="364"/>
      <c r="H75" s="364"/>
      <c r="J75" s="364"/>
      <c r="K75" s="364"/>
      <c r="O75" s="365"/>
    </row>
    <row r="76" ht="12.75" customHeight="1">
      <c r="C76" s="364"/>
      <c r="E76" s="364"/>
      <c r="F76" s="364"/>
      <c r="G76" s="364"/>
      <c r="H76" s="364"/>
      <c r="J76" s="364"/>
      <c r="K76" s="364"/>
      <c r="O76" s="365"/>
    </row>
    <row r="77" ht="12.75" customHeight="1">
      <c r="C77" s="364"/>
      <c r="E77" s="364"/>
      <c r="F77" s="364"/>
      <c r="G77" s="364"/>
      <c r="H77" s="364"/>
      <c r="J77" s="364"/>
      <c r="K77" s="364"/>
      <c r="O77" s="365"/>
    </row>
    <row r="78" ht="12.75" customHeight="1">
      <c r="C78" s="364"/>
      <c r="E78" s="364"/>
      <c r="F78" s="364"/>
      <c r="G78" s="364"/>
      <c r="H78" s="364"/>
      <c r="J78" s="364"/>
      <c r="K78" s="364"/>
      <c r="O78" s="365"/>
    </row>
    <row r="79" ht="12.75" customHeight="1">
      <c r="C79" s="364"/>
      <c r="E79" s="364"/>
      <c r="F79" s="364"/>
      <c r="G79" s="364"/>
      <c r="H79" s="364"/>
      <c r="J79" s="364"/>
      <c r="K79" s="364"/>
      <c r="O79" s="365"/>
    </row>
    <row r="80" ht="12.75" customHeight="1">
      <c r="C80" s="364"/>
      <c r="E80" s="364"/>
      <c r="F80" s="364"/>
      <c r="G80" s="364"/>
      <c r="H80" s="364"/>
      <c r="J80" s="364"/>
      <c r="K80" s="364"/>
      <c r="O80" s="365"/>
    </row>
    <row r="81" ht="12.75" customHeight="1">
      <c r="C81" s="364"/>
      <c r="E81" s="364"/>
      <c r="F81" s="364"/>
      <c r="G81" s="364"/>
      <c r="H81" s="364"/>
      <c r="J81" s="364"/>
      <c r="K81" s="364"/>
      <c r="O81" s="365"/>
    </row>
    <row r="82" ht="12.75" customHeight="1">
      <c r="C82" s="364"/>
      <c r="E82" s="364"/>
      <c r="F82" s="364"/>
      <c r="G82" s="364"/>
      <c r="H82" s="364"/>
      <c r="J82" s="364"/>
      <c r="K82" s="364"/>
      <c r="O82" s="365"/>
    </row>
    <row r="83" ht="12.75" customHeight="1">
      <c r="C83" s="364"/>
      <c r="E83" s="364"/>
      <c r="F83" s="364"/>
      <c r="G83" s="364"/>
      <c r="H83" s="364"/>
      <c r="J83" s="364"/>
      <c r="K83" s="364"/>
      <c r="O83" s="365"/>
    </row>
    <row r="84" ht="12.75" customHeight="1">
      <c r="C84" s="364"/>
      <c r="E84" s="364"/>
      <c r="F84" s="364"/>
      <c r="G84" s="364"/>
      <c r="H84" s="364"/>
      <c r="J84" s="364"/>
      <c r="K84" s="364"/>
      <c r="O84" s="365"/>
    </row>
    <row r="85" ht="12.75" customHeight="1">
      <c r="C85" s="364"/>
      <c r="E85" s="364"/>
      <c r="F85" s="364"/>
      <c r="G85" s="364"/>
      <c r="H85" s="364"/>
      <c r="J85" s="364"/>
      <c r="K85" s="364"/>
      <c r="O85" s="365"/>
    </row>
    <row r="86" ht="12.75" customHeight="1">
      <c r="C86" s="364"/>
      <c r="E86" s="364"/>
      <c r="F86" s="364"/>
      <c r="G86" s="364"/>
      <c r="H86" s="364"/>
      <c r="J86" s="364"/>
      <c r="K86" s="364"/>
      <c r="O86" s="365"/>
    </row>
    <row r="87" ht="12.75" customHeight="1">
      <c r="C87" s="364"/>
      <c r="E87" s="364"/>
      <c r="F87" s="364"/>
      <c r="G87" s="364"/>
      <c r="H87" s="364"/>
      <c r="J87" s="364"/>
      <c r="K87" s="364"/>
      <c r="O87" s="365"/>
    </row>
    <row r="88" ht="12.75" customHeight="1">
      <c r="C88" s="364"/>
      <c r="E88" s="364"/>
      <c r="F88" s="364"/>
      <c r="G88" s="364"/>
      <c r="H88" s="364"/>
      <c r="J88" s="364"/>
      <c r="K88" s="364"/>
      <c r="O88" s="365"/>
    </row>
    <row r="89" ht="12.75" customHeight="1">
      <c r="C89" s="364"/>
      <c r="E89" s="364"/>
      <c r="F89" s="364"/>
      <c r="G89" s="364"/>
      <c r="H89" s="364"/>
      <c r="J89" s="364"/>
      <c r="K89" s="364"/>
      <c r="O89" s="365"/>
    </row>
    <row r="90" ht="12.75" customHeight="1">
      <c r="C90" s="364"/>
      <c r="E90" s="364"/>
      <c r="F90" s="364"/>
      <c r="G90" s="364"/>
      <c r="H90" s="364"/>
      <c r="J90" s="364"/>
      <c r="K90" s="364"/>
      <c r="O90" s="365"/>
    </row>
    <row r="91" ht="12.75" customHeight="1">
      <c r="C91" s="364"/>
      <c r="E91" s="364"/>
      <c r="F91" s="364"/>
      <c r="G91" s="364"/>
      <c r="H91" s="364"/>
      <c r="J91" s="364"/>
      <c r="K91" s="364"/>
      <c r="O91" s="365"/>
    </row>
    <row r="92" ht="12.75" customHeight="1">
      <c r="C92" s="364"/>
      <c r="E92" s="364"/>
      <c r="F92" s="364"/>
      <c r="G92" s="364"/>
      <c r="H92" s="364"/>
      <c r="J92" s="364"/>
      <c r="K92" s="364"/>
      <c r="O92" s="365"/>
    </row>
    <row r="93" ht="12.75" customHeight="1">
      <c r="C93" s="364"/>
      <c r="E93" s="364"/>
      <c r="F93" s="364"/>
      <c r="G93" s="364"/>
      <c r="H93" s="364"/>
      <c r="J93" s="364"/>
      <c r="K93" s="364"/>
      <c r="O93" s="365"/>
    </row>
    <row r="94" ht="12.75" customHeight="1">
      <c r="C94" s="364"/>
      <c r="E94" s="364"/>
      <c r="F94" s="364"/>
      <c r="G94" s="364"/>
      <c r="H94" s="364"/>
      <c r="J94" s="364"/>
      <c r="K94" s="364"/>
      <c r="O94" s="365"/>
    </row>
    <row r="95" ht="12.75" customHeight="1">
      <c r="C95" s="364"/>
      <c r="E95" s="364"/>
      <c r="F95" s="364"/>
      <c r="G95" s="364"/>
      <c r="H95" s="364"/>
      <c r="J95" s="364"/>
      <c r="K95" s="364"/>
      <c r="O95" s="365"/>
    </row>
    <row r="96" ht="12.75" customHeight="1">
      <c r="C96" s="364"/>
      <c r="E96" s="364"/>
      <c r="F96" s="364"/>
      <c r="G96" s="364"/>
      <c r="H96" s="364"/>
      <c r="J96" s="364"/>
      <c r="K96" s="364"/>
      <c r="O96" s="365"/>
    </row>
    <row r="97" ht="12.75" customHeight="1">
      <c r="C97" s="364"/>
      <c r="E97" s="364"/>
      <c r="F97" s="364"/>
      <c r="G97" s="364"/>
      <c r="H97" s="364"/>
      <c r="J97" s="364"/>
      <c r="K97" s="364"/>
      <c r="O97" s="365"/>
    </row>
    <row r="98" ht="12.75" customHeight="1">
      <c r="C98" s="364"/>
      <c r="E98" s="364"/>
      <c r="F98" s="364"/>
      <c r="G98" s="364"/>
      <c r="H98" s="364"/>
      <c r="J98" s="364"/>
      <c r="K98" s="364"/>
      <c r="O98" s="365"/>
    </row>
    <row r="99" ht="12.75" customHeight="1">
      <c r="C99" s="364"/>
      <c r="E99" s="364"/>
      <c r="F99" s="364"/>
      <c r="G99" s="364"/>
      <c r="H99" s="364"/>
      <c r="J99" s="364"/>
      <c r="K99" s="364"/>
      <c r="O99" s="365"/>
    </row>
    <row r="100" ht="12.75" customHeight="1">
      <c r="C100" s="364"/>
      <c r="E100" s="364"/>
      <c r="F100" s="364"/>
      <c r="G100" s="364"/>
      <c r="H100" s="364"/>
      <c r="J100" s="364"/>
      <c r="K100" s="364"/>
      <c r="O100" s="365"/>
    </row>
    <row r="101" ht="12.75" customHeight="1">
      <c r="C101" s="364"/>
      <c r="E101" s="364"/>
      <c r="F101" s="364"/>
      <c r="G101" s="364"/>
      <c r="H101" s="364"/>
      <c r="J101" s="364"/>
      <c r="K101" s="364"/>
      <c r="O101" s="365"/>
    </row>
    <row r="102" ht="12.75" customHeight="1">
      <c r="C102" s="364"/>
      <c r="E102" s="364"/>
      <c r="F102" s="364"/>
      <c r="G102" s="364"/>
      <c r="H102" s="364"/>
      <c r="J102" s="364"/>
      <c r="K102" s="364"/>
      <c r="O102" s="365"/>
    </row>
    <row r="103" ht="12.75" customHeight="1">
      <c r="C103" s="364"/>
      <c r="E103" s="364"/>
      <c r="F103" s="364"/>
      <c r="G103" s="364"/>
      <c r="H103" s="364"/>
      <c r="J103" s="364"/>
      <c r="K103" s="364"/>
      <c r="O103" s="365"/>
    </row>
    <row r="104" ht="12.75" customHeight="1">
      <c r="C104" s="364"/>
      <c r="E104" s="364"/>
      <c r="F104" s="364"/>
      <c r="G104" s="364"/>
      <c r="H104" s="364"/>
      <c r="J104" s="364"/>
      <c r="K104" s="364"/>
      <c r="O104" s="365"/>
    </row>
    <row r="105" ht="12.75" customHeight="1">
      <c r="C105" s="364"/>
      <c r="E105" s="364"/>
      <c r="F105" s="364"/>
      <c r="G105" s="364"/>
      <c r="H105" s="364"/>
      <c r="J105" s="364"/>
      <c r="K105" s="364"/>
      <c r="O105" s="365"/>
    </row>
    <row r="106" ht="12.75" customHeight="1">
      <c r="C106" s="364"/>
      <c r="E106" s="364"/>
      <c r="F106" s="364"/>
      <c r="G106" s="364"/>
      <c r="H106" s="364"/>
      <c r="J106" s="364"/>
      <c r="K106" s="364"/>
      <c r="O106" s="365"/>
    </row>
    <row r="107" ht="12.75" customHeight="1">
      <c r="C107" s="364"/>
      <c r="E107" s="364"/>
      <c r="F107" s="364"/>
      <c r="G107" s="364"/>
      <c r="H107" s="364"/>
      <c r="J107" s="364"/>
      <c r="K107" s="364"/>
      <c r="O107" s="365"/>
    </row>
    <row r="108" ht="12.75" customHeight="1">
      <c r="C108" s="364"/>
      <c r="E108" s="364"/>
      <c r="F108" s="364"/>
      <c r="G108" s="364"/>
      <c r="H108" s="364"/>
      <c r="J108" s="364"/>
      <c r="K108" s="364"/>
      <c r="O108" s="365"/>
    </row>
    <row r="109" ht="12.75" customHeight="1">
      <c r="C109" s="364"/>
      <c r="E109" s="364"/>
      <c r="F109" s="364"/>
      <c r="G109" s="364"/>
      <c r="H109" s="364"/>
      <c r="J109" s="364"/>
      <c r="K109" s="364"/>
      <c r="O109" s="365"/>
    </row>
    <row r="110" ht="12.75" customHeight="1">
      <c r="C110" s="364"/>
      <c r="E110" s="364"/>
      <c r="F110" s="364"/>
      <c r="G110" s="364"/>
      <c r="H110" s="364"/>
      <c r="J110" s="364"/>
      <c r="K110" s="364"/>
      <c r="O110" s="365"/>
    </row>
    <row r="111" ht="12.75" customHeight="1">
      <c r="C111" s="364"/>
      <c r="E111" s="364"/>
      <c r="F111" s="364"/>
      <c r="G111" s="364"/>
      <c r="H111" s="364"/>
      <c r="J111" s="364"/>
      <c r="K111" s="364"/>
      <c r="O111" s="365"/>
    </row>
    <row r="112" ht="12.75" customHeight="1">
      <c r="C112" s="364"/>
      <c r="E112" s="364"/>
      <c r="F112" s="364"/>
      <c r="G112" s="364"/>
      <c r="H112" s="364"/>
      <c r="J112" s="364"/>
      <c r="K112" s="364"/>
      <c r="O112" s="365"/>
    </row>
    <row r="113" ht="12.75" customHeight="1">
      <c r="C113" s="364"/>
      <c r="E113" s="364"/>
      <c r="F113" s="364"/>
      <c r="G113" s="364"/>
      <c r="H113" s="364"/>
      <c r="J113" s="364"/>
      <c r="K113" s="364"/>
      <c r="O113" s="365"/>
    </row>
    <row r="114" ht="12.75" customHeight="1">
      <c r="C114" s="364"/>
      <c r="E114" s="364"/>
      <c r="F114" s="364"/>
      <c r="G114" s="364"/>
      <c r="H114" s="364"/>
      <c r="J114" s="364"/>
      <c r="K114" s="364"/>
      <c r="O114" s="365"/>
    </row>
    <row r="115" ht="12.75" customHeight="1">
      <c r="C115" s="364"/>
      <c r="E115" s="364"/>
      <c r="F115" s="364"/>
      <c r="G115" s="364"/>
      <c r="H115" s="364"/>
      <c r="J115" s="364"/>
      <c r="K115" s="364"/>
      <c r="O115" s="365"/>
    </row>
    <row r="116" ht="12.75" customHeight="1">
      <c r="C116" s="364"/>
      <c r="E116" s="364"/>
      <c r="F116" s="364"/>
      <c r="G116" s="364"/>
      <c r="H116" s="364"/>
      <c r="J116" s="364"/>
      <c r="K116" s="364"/>
      <c r="O116" s="365"/>
    </row>
    <row r="117" ht="12.75" customHeight="1">
      <c r="C117" s="364"/>
      <c r="E117" s="364"/>
      <c r="F117" s="364"/>
      <c r="G117" s="364"/>
      <c r="H117" s="364"/>
      <c r="J117" s="364"/>
      <c r="K117" s="364"/>
      <c r="O117" s="365"/>
    </row>
    <row r="118" ht="12.75" customHeight="1">
      <c r="C118" s="364"/>
      <c r="E118" s="364"/>
      <c r="F118" s="364"/>
      <c r="G118" s="364"/>
      <c r="H118" s="364"/>
      <c r="J118" s="364"/>
      <c r="K118" s="364"/>
      <c r="O118" s="365"/>
    </row>
    <row r="119" ht="12.75" customHeight="1">
      <c r="C119" s="364"/>
      <c r="E119" s="364"/>
      <c r="F119" s="364"/>
      <c r="G119" s="364"/>
      <c r="H119" s="364"/>
      <c r="J119" s="364"/>
      <c r="K119" s="364"/>
      <c r="O119" s="365"/>
    </row>
    <row r="120" ht="12.75" customHeight="1">
      <c r="C120" s="364"/>
      <c r="E120" s="364"/>
      <c r="F120" s="364"/>
      <c r="G120" s="364"/>
      <c r="H120" s="364"/>
      <c r="J120" s="364"/>
      <c r="K120" s="364"/>
      <c r="O120" s="365"/>
    </row>
    <row r="121" ht="12.75" customHeight="1">
      <c r="C121" s="364"/>
      <c r="E121" s="364"/>
      <c r="F121" s="364"/>
      <c r="G121" s="364"/>
      <c r="H121" s="364"/>
      <c r="J121" s="364"/>
      <c r="K121" s="364"/>
      <c r="O121" s="365"/>
    </row>
    <row r="122" ht="12.75" customHeight="1">
      <c r="C122" s="364"/>
      <c r="E122" s="364"/>
      <c r="F122" s="364"/>
      <c r="G122" s="364"/>
      <c r="H122" s="364"/>
      <c r="J122" s="364"/>
      <c r="K122" s="364"/>
      <c r="O122" s="365"/>
    </row>
    <row r="123" ht="12.75" customHeight="1">
      <c r="C123" s="364"/>
      <c r="E123" s="364"/>
      <c r="F123" s="364"/>
      <c r="G123" s="364"/>
      <c r="H123" s="364"/>
      <c r="J123" s="364"/>
      <c r="K123" s="364"/>
      <c r="O123" s="365"/>
    </row>
    <row r="124" ht="12.75" customHeight="1">
      <c r="C124" s="364"/>
      <c r="E124" s="364"/>
      <c r="F124" s="364"/>
      <c r="G124" s="364"/>
      <c r="H124" s="364"/>
      <c r="J124" s="364"/>
      <c r="K124" s="364"/>
      <c r="O124" s="365"/>
    </row>
    <row r="125" ht="12.75" customHeight="1">
      <c r="C125" s="364"/>
      <c r="E125" s="364"/>
      <c r="F125" s="364"/>
      <c r="G125" s="364"/>
      <c r="H125" s="364"/>
      <c r="J125" s="364"/>
      <c r="K125" s="364"/>
      <c r="O125" s="365"/>
    </row>
    <row r="126" ht="12.75" customHeight="1">
      <c r="C126" s="364"/>
      <c r="E126" s="364"/>
      <c r="F126" s="364"/>
      <c r="G126" s="364"/>
      <c r="H126" s="364"/>
      <c r="J126" s="364"/>
      <c r="K126" s="364"/>
      <c r="O126" s="365"/>
    </row>
    <row r="127" ht="12.75" customHeight="1">
      <c r="C127" s="364"/>
      <c r="E127" s="364"/>
      <c r="F127" s="364"/>
      <c r="G127" s="364"/>
      <c r="H127" s="364"/>
      <c r="J127" s="364"/>
      <c r="K127" s="364"/>
      <c r="O127" s="365"/>
    </row>
    <row r="128" ht="12.75" customHeight="1">
      <c r="C128" s="364"/>
      <c r="E128" s="364"/>
      <c r="F128" s="364"/>
      <c r="G128" s="364"/>
      <c r="H128" s="364"/>
      <c r="J128" s="364"/>
      <c r="K128" s="364"/>
      <c r="O128" s="365"/>
    </row>
    <row r="129" ht="12.75" customHeight="1">
      <c r="C129" s="364"/>
      <c r="E129" s="364"/>
      <c r="F129" s="364"/>
      <c r="G129" s="364"/>
      <c r="H129" s="364"/>
      <c r="J129" s="364"/>
      <c r="K129" s="364"/>
      <c r="O129" s="365"/>
    </row>
    <row r="130" ht="12.75" customHeight="1">
      <c r="C130" s="364"/>
      <c r="E130" s="364"/>
      <c r="F130" s="364"/>
      <c r="G130" s="364"/>
      <c r="H130" s="364"/>
      <c r="J130" s="364"/>
      <c r="K130" s="364"/>
      <c r="O130" s="365"/>
    </row>
    <row r="131" ht="12.75" customHeight="1">
      <c r="C131" s="364"/>
      <c r="E131" s="364"/>
      <c r="F131" s="364"/>
      <c r="G131" s="364"/>
      <c r="H131" s="364"/>
      <c r="J131" s="364"/>
      <c r="K131" s="364"/>
      <c r="O131" s="365"/>
    </row>
    <row r="132" ht="12.75" customHeight="1">
      <c r="C132" s="364"/>
      <c r="E132" s="364"/>
      <c r="F132" s="364"/>
      <c r="G132" s="364"/>
      <c r="H132" s="364"/>
      <c r="J132" s="364"/>
      <c r="K132" s="364"/>
      <c r="O132" s="365"/>
    </row>
    <row r="133" ht="12.75" customHeight="1">
      <c r="C133" s="364"/>
      <c r="E133" s="364"/>
      <c r="F133" s="364"/>
      <c r="G133" s="364"/>
      <c r="H133" s="364"/>
      <c r="J133" s="364"/>
      <c r="K133" s="364"/>
      <c r="O133" s="365"/>
    </row>
    <row r="134" ht="12.75" customHeight="1">
      <c r="C134" s="364"/>
      <c r="E134" s="364"/>
      <c r="F134" s="364"/>
      <c r="G134" s="364"/>
      <c r="H134" s="364"/>
      <c r="J134" s="364"/>
      <c r="K134" s="364"/>
      <c r="O134" s="365"/>
    </row>
    <row r="135" ht="12.75" customHeight="1">
      <c r="C135" s="364"/>
      <c r="E135" s="364"/>
      <c r="F135" s="364"/>
      <c r="G135" s="364"/>
      <c r="H135" s="364"/>
      <c r="J135" s="364"/>
      <c r="K135" s="364"/>
      <c r="O135" s="365"/>
    </row>
    <row r="136" ht="12.75" customHeight="1">
      <c r="C136" s="364"/>
      <c r="E136" s="364"/>
      <c r="F136" s="364"/>
      <c r="G136" s="364"/>
      <c r="H136" s="364"/>
      <c r="J136" s="364"/>
      <c r="K136" s="364"/>
      <c r="O136" s="365"/>
    </row>
    <row r="137" ht="12.75" customHeight="1">
      <c r="C137" s="364"/>
      <c r="E137" s="364"/>
      <c r="F137" s="364"/>
      <c r="G137" s="364"/>
      <c r="H137" s="364"/>
      <c r="J137" s="364"/>
      <c r="K137" s="364"/>
      <c r="O137" s="365"/>
    </row>
    <row r="138" ht="12.75" customHeight="1">
      <c r="C138" s="364"/>
      <c r="E138" s="364"/>
      <c r="F138" s="364"/>
      <c r="G138" s="364"/>
      <c r="H138" s="364"/>
      <c r="J138" s="364"/>
      <c r="K138" s="364"/>
      <c r="O138" s="365"/>
    </row>
    <row r="139" ht="12.75" customHeight="1">
      <c r="C139" s="364"/>
      <c r="E139" s="364"/>
      <c r="F139" s="364"/>
      <c r="G139" s="364"/>
      <c r="H139" s="364"/>
      <c r="J139" s="364"/>
      <c r="K139" s="364"/>
      <c r="O139" s="365"/>
    </row>
    <row r="140" ht="12.75" customHeight="1">
      <c r="C140" s="364"/>
      <c r="E140" s="364"/>
      <c r="F140" s="364"/>
      <c r="G140" s="364"/>
      <c r="H140" s="364"/>
      <c r="J140" s="364"/>
      <c r="K140" s="364"/>
      <c r="O140" s="365"/>
    </row>
    <row r="141" ht="12.75" customHeight="1">
      <c r="C141" s="364"/>
      <c r="E141" s="364"/>
      <c r="F141" s="364"/>
      <c r="G141" s="364"/>
      <c r="H141" s="364"/>
      <c r="J141" s="364"/>
      <c r="K141" s="364"/>
      <c r="O141" s="365"/>
    </row>
    <row r="142" ht="12.75" customHeight="1">
      <c r="C142" s="364"/>
      <c r="E142" s="364"/>
      <c r="F142" s="364"/>
      <c r="G142" s="364"/>
      <c r="H142" s="364"/>
      <c r="J142" s="364"/>
      <c r="K142" s="364"/>
      <c r="O142" s="365"/>
    </row>
    <row r="143" ht="12.75" customHeight="1">
      <c r="C143" s="364"/>
      <c r="E143" s="364"/>
      <c r="F143" s="364"/>
      <c r="G143" s="364"/>
      <c r="H143" s="364"/>
      <c r="J143" s="364"/>
      <c r="K143" s="364"/>
      <c r="O143" s="365"/>
    </row>
    <row r="144" ht="12.75" customHeight="1">
      <c r="C144" s="364"/>
      <c r="E144" s="364"/>
      <c r="F144" s="364"/>
      <c r="G144" s="364"/>
      <c r="H144" s="364"/>
      <c r="J144" s="364"/>
      <c r="K144" s="364"/>
      <c r="O144" s="365"/>
    </row>
    <row r="145" ht="12.75" customHeight="1">
      <c r="C145" s="364"/>
      <c r="E145" s="364"/>
      <c r="F145" s="364"/>
      <c r="G145" s="364"/>
      <c r="H145" s="364"/>
      <c r="J145" s="364"/>
      <c r="K145" s="364"/>
      <c r="O145" s="365"/>
    </row>
    <row r="146" ht="12.75" customHeight="1">
      <c r="C146" s="364"/>
      <c r="E146" s="364"/>
      <c r="F146" s="364"/>
      <c r="G146" s="364"/>
      <c r="H146" s="364"/>
      <c r="J146" s="364"/>
      <c r="K146" s="364"/>
      <c r="O146" s="365"/>
    </row>
    <row r="147" ht="12.75" customHeight="1">
      <c r="C147" s="364"/>
      <c r="E147" s="364"/>
      <c r="F147" s="364"/>
      <c r="G147" s="364"/>
      <c r="H147" s="364"/>
      <c r="J147" s="364"/>
      <c r="K147" s="364"/>
      <c r="O147" s="365"/>
    </row>
    <row r="148" ht="12.75" customHeight="1">
      <c r="C148" s="364"/>
      <c r="E148" s="364"/>
      <c r="F148" s="364"/>
      <c r="G148" s="364"/>
      <c r="H148" s="364"/>
      <c r="J148" s="364"/>
      <c r="K148" s="364"/>
      <c r="O148" s="365"/>
    </row>
    <row r="149" ht="12.75" customHeight="1">
      <c r="C149" s="364"/>
      <c r="E149" s="364"/>
      <c r="F149" s="364"/>
      <c r="G149" s="364"/>
      <c r="H149" s="364"/>
      <c r="J149" s="364"/>
      <c r="K149" s="364"/>
      <c r="O149" s="365"/>
    </row>
    <row r="150" ht="12.75" customHeight="1">
      <c r="C150" s="364"/>
      <c r="E150" s="364"/>
      <c r="F150" s="364"/>
      <c r="G150" s="364"/>
      <c r="H150" s="364"/>
      <c r="J150" s="364"/>
      <c r="K150" s="364"/>
      <c r="O150" s="365"/>
    </row>
    <row r="151" ht="12.75" customHeight="1">
      <c r="C151" s="364"/>
      <c r="E151" s="364"/>
      <c r="F151" s="364"/>
      <c r="G151" s="364"/>
      <c r="H151" s="364"/>
      <c r="J151" s="364"/>
      <c r="K151" s="364"/>
      <c r="O151" s="365"/>
    </row>
    <row r="152" ht="12.75" customHeight="1">
      <c r="C152" s="364"/>
      <c r="E152" s="364"/>
      <c r="F152" s="364"/>
      <c r="G152" s="364"/>
      <c r="H152" s="364"/>
      <c r="J152" s="364"/>
      <c r="K152" s="364"/>
      <c r="O152" s="365"/>
    </row>
    <row r="153" ht="12.75" customHeight="1">
      <c r="C153" s="364"/>
      <c r="E153" s="364"/>
      <c r="F153" s="364"/>
      <c r="G153" s="364"/>
      <c r="H153" s="364"/>
      <c r="J153" s="364"/>
      <c r="K153" s="364"/>
      <c r="O153" s="365"/>
    </row>
    <row r="154" ht="12.75" customHeight="1">
      <c r="C154" s="364"/>
      <c r="E154" s="364"/>
      <c r="F154" s="364"/>
      <c r="G154" s="364"/>
      <c r="H154" s="364"/>
      <c r="J154" s="364"/>
      <c r="K154" s="364"/>
      <c r="O154" s="365"/>
    </row>
    <row r="155" ht="12.75" customHeight="1">
      <c r="C155" s="364"/>
      <c r="E155" s="364"/>
      <c r="F155" s="364"/>
      <c r="G155" s="364"/>
      <c r="H155" s="364"/>
      <c r="J155" s="364"/>
      <c r="K155" s="364"/>
      <c r="O155" s="365"/>
    </row>
    <row r="156" ht="12.75" customHeight="1">
      <c r="C156" s="364"/>
      <c r="E156" s="364"/>
      <c r="F156" s="364"/>
      <c r="G156" s="364"/>
      <c r="H156" s="364"/>
      <c r="J156" s="364"/>
      <c r="K156" s="364"/>
      <c r="O156" s="365"/>
    </row>
    <row r="157" ht="12.75" customHeight="1">
      <c r="C157" s="364"/>
      <c r="E157" s="364"/>
      <c r="F157" s="364"/>
      <c r="G157" s="364"/>
      <c r="H157" s="364"/>
      <c r="J157" s="364"/>
      <c r="K157" s="364"/>
      <c r="O157" s="365"/>
    </row>
    <row r="158" ht="12.75" customHeight="1">
      <c r="C158" s="364"/>
      <c r="E158" s="364"/>
      <c r="F158" s="364"/>
      <c r="G158" s="364"/>
      <c r="H158" s="364"/>
      <c r="J158" s="364"/>
      <c r="K158" s="364"/>
      <c r="O158" s="365"/>
    </row>
    <row r="159" ht="12.75" customHeight="1">
      <c r="C159" s="364"/>
      <c r="E159" s="364"/>
      <c r="F159" s="364"/>
      <c r="G159" s="364"/>
      <c r="H159" s="364"/>
      <c r="J159" s="364"/>
      <c r="K159" s="364"/>
      <c r="O159" s="365"/>
    </row>
    <row r="160" ht="12.75" customHeight="1">
      <c r="C160" s="364"/>
      <c r="E160" s="364"/>
      <c r="F160" s="364"/>
      <c r="G160" s="364"/>
      <c r="H160" s="364"/>
      <c r="J160" s="364"/>
      <c r="K160" s="364"/>
      <c r="O160" s="365"/>
    </row>
    <row r="161" ht="12.75" customHeight="1">
      <c r="C161" s="364"/>
      <c r="E161" s="364"/>
      <c r="F161" s="364"/>
      <c r="G161" s="364"/>
      <c r="H161" s="364"/>
      <c r="J161" s="364"/>
      <c r="K161" s="364"/>
      <c r="O161" s="365"/>
    </row>
    <row r="162" ht="12.75" customHeight="1">
      <c r="C162" s="364"/>
      <c r="E162" s="364"/>
      <c r="F162" s="364"/>
      <c r="G162" s="364"/>
      <c r="H162" s="364"/>
      <c r="J162" s="364"/>
      <c r="K162" s="364"/>
      <c r="O162" s="365"/>
    </row>
    <row r="163" ht="12.75" customHeight="1">
      <c r="C163" s="364"/>
      <c r="E163" s="364"/>
      <c r="F163" s="364"/>
      <c r="G163" s="364"/>
      <c r="H163" s="364"/>
      <c r="J163" s="364"/>
      <c r="K163" s="364"/>
      <c r="O163" s="365"/>
    </row>
    <row r="164" ht="12.75" customHeight="1">
      <c r="C164" s="364"/>
      <c r="E164" s="364"/>
      <c r="F164" s="364"/>
      <c r="G164" s="364"/>
      <c r="H164" s="364"/>
      <c r="J164" s="364"/>
      <c r="K164" s="364"/>
      <c r="O164" s="365"/>
    </row>
    <row r="165" ht="12.75" customHeight="1">
      <c r="C165" s="364"/>
      <c r="E165" s="364"/>
      <c r="F165" s="364"/>
      <c r="G165" s="364"/>
      <c r="H165" s="364"/>
      <c r="J165" s="364"/>
      <c r="K165" s="364"/>
      <c r="O165" s="365"/>
    </row>
    <row r="166" ht="12.75" customHeight="1">
      <c r="C166" s="364"/>
      <c r="E166" s="364"/>
      <c r="F166" s="364"/>
      <c r="G166" s="364"/>
      <c r="H166" s="364"/>
      <c r="J166" s="364"/>
      <c r="K166" s="364"/>
      <c r="O166" s="365"/>
    </row>
    <row r="167" ht="12.75" customHeight="1">
      <c r="C167" s="364"/>
      <c r="E167" s="364"/>
      <c r="F167" s="364"/>
      <c r="G167" s="364"/>
      <c r="H167" s="364"/>
      <c r="J167" s="364"/>
      <c r="K167" s="364"/>
      <c r="O167" s="365"/>
    </row>
    <row r="168" ht="12.75" customHeight="1">
      <c r="C168" s="364"/>
      <c r="E168" s="364"/>
      <c r="F168" s="364"/>
      <c r="G168" s="364"/>
      <c r="H168" s="364"/>
      <c r="J168" s="364"/>
      <c r="K168" s="364"/>
      <c r="O168" s="365"/>
    </row>
    <row r="169" ht="12.75" customHeight="1">
      <c r="C169" s="364"/>
      <c r="E169" s="364"/>
      <c r="F169" s="364"/>
      <c r="G169" s="364"/>
      <c r="H169" s="364"/>
      <c r="J169" s="364"/>
      <c r="K169" s="364"/>
      <c r="O169" s="365"/>
    </row>
    <row r="170" ht="12.75" customHeight="1">
      <c r="C170" s="364"/>
      <c r="E170" s="364"/>
      <c r="F170" s="364"/>
      <c r="G170" s="364"/>
      <c r="H170" s="364"/>
      <c r="J170" s="364"/>
      <c r="K170" s="364"/>
      <c r="O170" s="365"/>
    </row>
    <row r="171" ht="12.75" customHeight="1">
      <c r="C171" s="364"/>
      <c r="E171" s="364"/>
      <c r="F171" s="364"/>
      <c r="G171" s="364"/>
      <c r="H171" s="364"/>
      <c r="J171" s="364"/>
      <c r="K171" s="364"/>
      <c r="O171" s="365"/>
    </row>
    <row r="172" ht="12.75" customHeight="1">
      <c r="C172" s="364"/>
      <c r="E172" s="364"/>
      <c r="F172" s="364"/>
      <c r="G172" s="364"/>
      <c r="H172" s="364"/>
      <c r="J172" s="364"/>
      <c r="K172" s="364"/>
      <c r="O172" s="365"/>
    </row>
    <row r="173" ht="12.75" customHeight="1">
      <c r="C173" s="364"/>
      <c r="E173" s="364"/>
      <c r="F173" s="364"/>
      <c r="G173" s="364"/>
      <c r="H173" s="364"/>
      <c r="J173" s="364"/>
      <c r="K173" s="364"/>
      <c r="O173" s="365"/>
    </row>
    <row r="174" ht="12.75" customHeight="1">
      <c r="C174" s="364"/>
      <c r="E174" s="364"/>
      <c r="F174" s="364"/>
      <c r="G174" s="364"/>
      <c r="H174" s="364"/>
      <c r="J174" s="364"/>
      <c r="K174" s="364"/>
      <c r="O174" s="365"/>
    </row>
    <row r="175" ht="12.75" customHeight="1">
      <c r="C175" s="364"/>
      <c r="E175" s="364"/>
      <c r="F175" s="364"/>
      <c r="G175" s="364"/>
      <c r="H175" s="364"/>
      <c r="J175" s="364"/>
      <c r="K175" s="364"/>
      <c r="O175" s="365"/>
    </row>
    <row r="176" ht="12.75" customHeight="1">
      <c r="C176" s="364"/>
      <c r="E176" s="364"/>
      <c r="F176" s="364"/>
      <c r="G176" s="364"/>
      <c r="H176" s="364"/>
      <c r="J176" s="364"/>
      <c r="K176" s="364"/>
      <c r="O176" s="365"/>
    </row>
    <row r="177" ht="12.75" customHeight="1">
      <c r="C177" s="364"/>
      <c r="E177" s="364"/>
      <c r="F177" s="364"/>
      <c r="G177" s="364"/>
      <c r="H177" s="364"/>
      <c r="J177" s="364"/>
      <c r="K177" s="364"/>
      <c r="O177" s="365"/>
    </row>
    <row r="178" ht="12.75" customHeight="1">
      <c r="C178" s="364"/>
      <c r="E178" s="364"/>
      <c r="F178" s="364"/>
      <c r="G178" s="364"/>
      <c r="H178" s="364"/>
      <c r="J178" s="364"/>
      <c r="K178" s="364"/>
      <c r="O178" s="365"/>
    </row>
    <row r="179" ht="12.75" customHeight="1">
      <c r="C179" s="364"/>
      <c r="E179" s="364"/>
      <c r="F179" s="364"/>
      <c r="G179" s="364"/>
      <c r="H179" s="364"/>
      <c r="J179" s="364"/>
      <c r="K179" s="364"/>
      <c r="O179" s="365"/>
    </row>
    <row r="180" ht="12.75" customHeight="1">
      <c r="C180" s="364"/>
      <c r="E180" s="364"/>
      <c r="F180" s="364"/>
      <c r="G180" s="364"/>
      <c r="H180" s="364"/>
      <c r="J180" s="364"/>
      <c r="K180" s="364"/>
      <c r="O180" s="365"/>
    </row>
    <row r="181" ht="12.75" customHeight="1">
      <c r="C181" s="364"/>
      <c r="E181" s="364"/>
      <c r="F181" s="364"/>
      <c r="G181" s="364"/>
      <c r="H181" s="364"/>
      <c r="J181" s="364"/>
      <c r="K181" s="364"/>
      <c r="O181" s="365"/>
    </row>
    <row r="182" ht="12.75" customHeight="1">
      <c r="C182" s="364"/>
      <c r="E182" s="364"/>
      <c r="F182" s="364"/>
      <c r="G182" s="364"/>
      <c r="H182" s="364"/>
      <c r="J182" s="364"/>
      <c r="K182" s="364"/>
      <c r="O182" s="365"/>
    </row>
    <row r="183" ht="12.75" customHeight="1">
      <c r="C183" s="364"/>
      <c r="E183" s="364"/>
      <c r="F183" s="364"/>
      <c r="G183" s="364"/>
      <c r="H183" s="364"/>
      <c r="J183" s="364"/>
      <c r="K183" s="364"/>
      <c r="O183" s="365"/>
    </row>
    <row r="184" ht="12.75" customHeight="1">
      <c r="C184" s="364"/>
      <c r="E184" s="364"/>
      <c r="F184" s="364"/>
      <c r="G184" s="364"/>
      <c r="H184" s="364"/>
      <c r="J184" s="364"/>
      <c r="K184" s="364"/>
      <c r="O184" s="365"/>
    </row>
    <row r="185" ht="12.75" customHeight="1">
      <c r="C185" s="364"/>
      <c r="E185" s="364"/>
      <c r="F185" s="364"/>
      <c r="G185" s="364"/>
      <c r="H185" s="364"/>
      <c r="J185" s="364"/>
      <c r="K185" s="364"/>
      <c r="O185" s="365"/>
    </row>
    <row r="186" ht="12.75" customHeight="1">
      <c r="C186" s="364"/>
      <c r="E186" s="364"/>
      <c r="F186" s="364"/>
      <c r="G186" s="364"/>
      <c r="H186" s="364"/>
      <c r="J186" s="364"/>
      <c r="K186" s="364"/>
      <c r="O186" s="365"/>
    </row>
    <row r="187" ht="12.75" customHeight="1">
      <c r="C187" s="364"/>
      <c r="E187" s="364"/>
      <c r="F187" s="364"/>
      <c r="G187" s="364"/>
      <c r="H187" s="364"/>
      <c r="J187" s="364"/>
      <c r="K187" s="364"/>
      <c r="O187" s="365"/>
    </row>
    <row r="188" ht="12.75" customHeight="1">
      <c r="C188" s="364"/>
      <c r="E188" s="364"/>
      <c r="F188" s="364"/>
      <c r="G188" s="364"/>
      <c r="H188" s="364"/>
      <c r="J188" s="364"/>
      <c r="K188" s="364"/>
      <c r="O188" s="365"/>
    </row>
    <row r="189" ht="12.75" customHeight="1">
      <c r="C189" s="364"/>
      <c r="E189" s="364"/>
      <c r="F189" s="364"/>
      <c r="G189" s="364"/>
      <c r="H189" s="364"/>
      <c r="J189" s="364"/>
      <c r="K189" s="364"/>
      <c r="O189" s="365"/>
    </row>
    <row r="190" ht="12.75" customHeight="1">
      <c r="C190" s="364"/>
      <c r="E190" s="364"/>
      <c r="F190" s="364"/>
      <c r="G190" s="364"/>
      <c r="H190" s="364"/>
      <c r="J190" s="364"/>
      <c r="K190" s="364"/>
      <c r="O190" s="365"/>
    </row>
    <row r="191" ht="12.75" customHeight="1">
      <c r="C191" s="364"/>
      <c r="E191" s="364"/>
      <c r="F191" s="364"/>
      <c r="G191" s="364"/>
      <c r="H191" s="364"/>
      <c r="J191" s="364"/>
      <c r="K191" s="364"/>
      <c r="O191" s="365"/>
    </row>
    <row r="192" ht="12.75" customHeight="1">
      <c r="C192" s="364"/>
      <c r="E192" s="364"/>
      <c r="F192" s="364"/>
      <c r="G192" s="364"/>
      <c r="H192" s="364"/>
      <c r="J192" s="364"/>
      <c r="K192" s="364"/>
      <c r="O192" s="365"/>
    </row>
    <row r="193" ht="12.75" customHeight="1">
      <c r="C193" s="364"/>
      <c r="E193" s="364"/>
      <c r="F193" s="364"/>
      <c r="G193" s="364"/>
      <c r="H193" s="364"/>
      <c r="J193" s="364"/>
      <c r="K193" s="364"/>
      <c r="O193" s="365"/>
    </row>
    <row r="194" ht="12.75" customHeight="1">
      <c r="C194" s="364"/>
      <c r="E194" s="364"/>
      <c r="F194" s="364"/>
      <c r="G194" s="364"/>
      <c r="H194" s="364"/>
      <c r="J194" s="364"/>
      <c r="K194" s="364"/>
      <c r="O194" s="365"/>
    </row>
    <row r="195" ht="12.75" customHeight="1">
      <c r="C195" s="364"/>
      <c r="E195" s="364"/>
      <c r="F195" s="364"/>
      <c r="G195" s="364"/>
      <c r="H195" s="364"/>
      <c r="J195" s="364"/>
      <c r="K195" s="364"/>
      <c r="O195" s="365"/>
    </row>
    <row r="196" ht="12.75" customHeight="1">
      <c r="C196" s="364"/>
      <c r="E196" s="364"/>
      <c r="F196" s="364"/>
      <c r="G196" s="364"/>
      <c r="H196" s="364"/>
      <c r="J196" s="364"/>
      <c r="K196" s="364"/>
      <c r="O196" s="365"/>
    </row>
    <row r="197" ht="12.75" customHeight="1">
      <c r="C197" s="364"/>
      <c r="E197" s="364"/>
      <c r="F197" s="364"/>
      <c r="G197" s="364"/>
      <c r="H197" s="364"/>
      <c r="J197" s="364"/>
      <c r="K197" s="364"/>
      <c r="O197" s="365"/>
    </row>
    <row r="198" ht="12.75" customHeight="1">
      <c r="C198" s="364"/>
      <c r="E198" s="364"/>
      <c r="F198" s="364"/>
      <c r="G198" s="364"/>
      <c r="H198" s="364"/>
      <c r="J198" s="364"/>
      <c r="K198" s="364"/>
      <c r="O198" s="365"/>
    </row>
    <row r="199" ht="12.75" customHeight="1">
      <c r="C199" s="364"/>
      <c r="E199" s="364"/>
      <c r="F199" s="364"/>
      <c r="G199" s="364"/>
      <c r="H199" s="364"/>
      <c r="J199" s="364"/>
      <c r="K199" s="364"/>
      <c r="O199" s="365"/>
    </row>
    <row r="200" ht="12.75" customHeight="1">
      <c r="C200" s="364"/>
      <c r="E200" s="364"/>
      <c r="F200" s="364"/>
      <c r="G200" s="364"/>
      <c r="H200" s="364"/>
      <c r="J200" s="364"/>
      <c r="K200" s="364"/>
      <c r="O200" s="365"/>
    </row>
    <row r="201" ht="12.75" customHeight="1">
      <c r="C201" s="364"/>
      <c r="E201" s="364"/>
      <c r="F201" s="364"/>
      <c r="G201" s="364"/>
      <c r="H201" s="364"/>
      <c r="J201" s="364"/>
      <c r="K201" s="364"/>
      <c r="O201" s="365"/>
    </row>
    <row r="202" ht="12.75" customHeight="1">
      <c r="C202" s="364"/>
      <c r="E202" s="364"/>
      <c r="F202" s="364"/>
      <c r="G202" s="364"/>
      <c r="H202" s="364"/>
      <c r="J202" s="364"/>
      <c r="K202" s="364"/>
      <c r="O202" s="365"/>
    </row>
    <row r="203" ht="12.75" customHeight="1">
      <c r="C203" s="364"/>
      <c r="E203" s="364"/>
      <c r="F203" s="364"/>
      <c r="G203" s="364"/>
      <c r="H203" s="364"/>
      <c r="J203" s="364"/>
      <c r="K203" s="364"/>
      <c r="O203" s="365"/>
    </row>
    <row r="204" ht="12.75" customHeight="1">
      <c r="C204" s="364"/>
      <c r="E204" s="364"/>
      <c r="F204" s="364"/>
      <c r="G204" s="364"/>
      <c r="H204" s="364"/>
      <c r="J204" s="364"/>
      <c r="K204" s="364"/>
      <c r="O204" s="365"/>
    </row>
    <row r="205" ht="12.75" customHeight="1">
      <c r="C205" s="364"/>
      <c r="E205" s="364"/>
      <c r="F205" s="364"/>
      <c r="G205" s="364"/>
      <c r="H205" s="364"/>
      <c r="J205" s="364"/>
      <c r="K205" s="364"/>
      <c r="O205" s="365"/>
    </row>
    <row r="206" ht="12.75" customHeight="1">
      <c r="C206" s="364"/>
      <c r="E206" s="364"/>
      <c r="F206" s="364"/>
      <c r="G206" s="364"/>
      <c r="H206" s="364"/>
      <c r="J206" s="364"/>
      <c r="K206" s="364"/>
      <c r="O206" s="365"/>
    </row>
    <row r="207" ht="12.75" customHeight="1">
      <c r="C207" s="364"/>
      <c r="E207" s="364"/>
      <c r="F207" s="364"/>
      <c r="G207" s="364"/>
      <c r="H207" s="364"/>
      <c r="J207" s="364"/>
      <c r="K207" s="364"/>
      <c r="O207" s="365"/>
    </row>
    <row r="208" ht="12.75" customHeight="1">
      <c r="C208" s="364"/>
      <c r="E208" s="364"/>
      <c r="F208" s="364"/>
      <c r="G208" s="364"/>
      <c r="H208" s="364"/>
      <c r="J208" s="364"/>
      <c r="K208" s="364"/>
      <c r="O208" s="365"/>
    </row>
    <row r="209" ht="12.75" customHeight="1">
      <c r="C209" s="364"/>
      <c r="E209" s="364"/>
      <c r="F209" s="364"/>
      <c r="G209" s="364"/>
      <c r="H209" s="364"/>
      <c r="J209" s="364"/>
      <c r="K209" s="364"/>
      <c r="O209" s="365"/>
    </row>
    <row r="210" ht="12.75" customHeight="1">
      <c r="C210" s="364"/>
      <c r="E210" s="364"/>
      <c r="F210" s="364"/>
      <c r="G210" s="364"/>
      <c r="H210" s="364"/>
      <c r="J210" s="364"/>
      <c r="K210" s="364"/>
      <c r="O210" s="365"/>
    </row>
    <row r="211" ht="12.75" customHeight="1">
      <c r="C211" s="364"/>
      <c r="E211" s="364"/>
      <c r="F211" s="364"/>
      <c r="G211" s="364"/>
      <c r="H211" s="364"/>
      <c r="J211" s="364"/>
      <c r="K211" s="364"/>
      <c r="O211" s="365"/>
    </row>
    <row r="212" ht="12.75" customHeight="1">
      <c r="C212" s="364"/>
      <c r="E212" s="364"/>
      <c r="F212" s="364"/>
      <c r="G212" s="364"/>
      <c r="H212" s="364"/>
      <c r="J212" s="364"/>
      <c r="K212" s="364"/>
      <c r="O212" s="365"/>
    </row>
    <row r="213" ht="12.75" customHeight="1">
      <c r="C213" s="364"/>
      <c r="E213" s="364"/>
      <c r="F213" s="364"/>
      <c r="G213" s="364"/>
      <c r="H213" s="364"/>
      <c r="J213" s="364"/>
      <c r="K213" s="364"/>
      <c r="O213" s="365"/>
    </row>
    <row r="214" ht="12.75" customHeight="1">
      <c r="C214" s="364"/>
      <c r="E214" s="364"/>
      <c r="F214" s="364"/>
      <c r="G214" s="364"/>
      <c r="H214" s="364"/>
      <c r="J214" s="364"/>
      <c r="K214" s="364"/>
      <c r="O214" s="365"/>
    </row>
    <row r="215" ht="12.75" customHeight="1">
      <c r="C215" s="364"/>
      <c r="E215" s="364"/>
      <c r="F215" s="364"/>
      <c r="G215" s="364"/>
      <c r="H215" s="364"/>
      <c r="J215" s="364"/>
      <c r="K215" s="364"/>
      <c r="O215" s="365"/>
    </row>
    <row r="216" ht="12.75" customHeight="1">
      <c r="C216" s="364"/>
      <c r="E216" s="364"/>
      <c r="F216" s="364"/>
      <c r="G216" s="364"/>
      <c r="H216" s="364"/>
      <c r="J216" s="364"/>
      <c r="K216" s="364"/>
      <c r="O216" s="365"/>
    </row>
    <row r="217" ht="12.75" customHeight="1">
      <c r="C217" s="364"/>
      <c r="E217" s="364"/>
      <c r="F217" s="364"/>
      <c r="G217" s="364"/>
      <c r="H217" s="364"/>
      <c r="J217" s="364"/>
      <c r="K217" s="364"/>
      <c r="O217" s="365"/>
    </row>
    <row r="218" ht="12.75" customHeight="1">
      <c r="C218" s="364"/>
      <c r="E218" s="364"/>
      <c r="F218" s="364"/>
      <c r="G218" s="364"/>
      <c r="H218" s="364"/>
      <c r="J218" s="364"/>
      <c r="K218" s="364"/>
      <c r="O218" s="365"/>
    </row>
    <row r="219" ht="12.75" customHeight="1">
      <c r="C219" s="364"/>
      <c r="E219" s="364"/>
      <c r="F219" s="364"/>
      <c r="G219" s="364"/>
      <c r="H219" s="364"/>
      <c r="J219" s="364"/>
      <c r="K219" s="364"/>
      <c r="O219" s="365"/>
    </row>
    <row r="220" ht="12.75" customHeight="1">
      <c r="C220" s="364"/>
      <c r="E220" s="364"/>
      <c r="F220" s="364"/>
      <c r="G220" s="364"/>
      <c r="H220" s="364"/>
      <c r="J220" s="364"/>
      <c r="K220" s="364"/>
      <c r="O220" s="365"/>
    </row>
    <row r="221" ht="12.75" customHeight="1">
      <c r="C221" s="364"/>
      <c r="E221" s="364"/>
      <c r="F221" s="364"/>
      <c r="G221" s="364"/>
      <c r="H221" s="364"/>
      <c r="J221" s="364"/>
      <c r="K221" s="364"/>
      <c r="O221" s="365"/>
    </row>
    <row r="222" ht="12.75" customHeight="1">
      <c r="C222" s="364"/>
      <c r="E222" s="364"/>
      <c r="F222" s="364"/>
      <c r="G222" s="364"/>
      <c r="H222" s="364"/>
      <c r="J222" s="364"/>
      <c r="K222" s="364"/>
      <c r="O222" s="365"/>
    </row>
    <row r="223" ht="12.75" customHeight="1">
      <c r="C223" s="364"/>
      <c r="E223" s="364"/>
      <c r="F223" s="364"/>
      <c r="G223" s="364"/>
      <c r="H223" s="364"/>
      <c r="J223" s="364"/>
      <c r="K223" s="364"/>
      <c r="O223" s="365"/>
    </row>
    <row r="224" ht="12.75" customHeight="1">
      <c r="C224" s="364"/>
      <c r="E224" s="364"/>
      <c r="F224" s="364"/>
      <c r="G224" s="364"/>
      <c r="H224" s="364"/>
      <c r="J224" s="364"/>
      <c r="K224" s="364"/>
      <c r="O224" s="365"/>
    </row>
    <row r="225" ht="12.75" customHeight="1">
      <c r="C225" s="364"/>
      <c r="E225" s="364"/>
      <c r="F225" s="364"/>
      <c r="G225" s="364"/>
      <c r="H225" s="364"/>
      <c r="J225" s="364"/>
      <c r="K225" s="364"/>
      <c r="O225" s="365"/>
    </row>
    <row r="226" ht="12.75" customHeight="1">
      <c r="C226" s="364"/>
      <c r="E226" s="364"/>
      <c r="F226" s="364"/>
      <c r="G226" s="364"/>
      <c r="H226" s="364"/>
      <c r="J226" s="364"/>
      <c r="K226" s="364"/>
      <c r="O226" s="365"/>
    </row>
    <row r="227" ht="12.75" customHeight="1">
      <c r="C227" s="364"/>
      <c r="E227" s="364"/>
      <c r="F227" s="364"/>
      <c r="G227" s="364"/>
      <c r="H227" s="364"/>
      <c r="J227" s="364"/>
      <c r="K227" s="364"/>
      <c r="O227" s="365"/>
    </row>
    <row r="228" ht="12.75" customHeight="1">
      <c r="C228" s="364"/>
      <c r="E228" s="364"/>
      <c r="F228" s="364"/>
      <c r="G228" s="364"/>
      <c r="H228" s="364"/>
      <c r="J228" s="364"/>
      <c r="K228" s="364"/>
      <c r="O228" s="365"/>
    </row>
    <row r="229" ht="12.75" customHeight="1">
      <c r="C229" s="364"/>
      <c r="E229" s="364"/>
      <c r="F229" s="364"/>
      <c r="G229" s="364"/>
      <c r="H229" s="364"/>
      <c r="J229" s="364"/>
      <c r="K229" s="364"/>
      <c r="O229" s="365"/>
    </row>
    <row r="230" ht="12.75" customHeight="1">
      <c r="C230" s="364"/>
      <c r="E230" s="364"/>
      <c r="F230" s="364"/>
      <c r="G230" s="364"/>
      <c r="H230" s="364"/>
      <c r="J230" s="364"/>
      <c r="K230" s="364"/>
      <c r="O230" s="365"/>
    </row>
    <row r="231" ht="12.75" customHeight="1">
      <c r="C231" s="364"/>
      <c r="E231" s="364"/>
      <c r="F231" s="364"/>
      <c r="G231" s="364"/>
      <c r="H231" s="364"/>
      <c r="J231" s="364"/>
      <c r="K231" s="364"/>
      <c r="O231" s="365"/>
    </row>
    <row r="232" ht="12.75" customHeight="1">
      <c r="C232" s="364"/>
      <c r="E232" s="364"/>
      <c r="F232" s="364"/>
      <c r="G232" s="364"/>
      <c r="H232" s="364"/>
      <c r="J232" s="364"/>
      <c r="K232" s="364"/>
      <c r="O232" s="365"/>
    </row>
    <row r="233" ht="12.75" customHeight="1">
      <c r="C233" s="364"/>
      <c r="E233" s="364"/>
      <c r="F233" s="364"/>
      <c r="G233" s="364"/>
      <c r="H233" s="364"/>
      <c r="J233" s="364"/>
      <c r="K233" s="364"/>
      <c r="O233" s="365"/>
    </row>
    <row r="234" ht="12.75" customHeight="1">
      <c r="C234" s="364"/>
      <c r="E234" s="364"/>
      <c r="F234" s="364"/>
      <c r="G234" s="364"/>
      <c r="H234" s="364"/>
      <c r="J234" s="364"/>
      <c r="K234" s="364"/>
      <c r="O234" s="365"/>
    </row>
    <row r="235" ht="12.75" customHeight="1">
      <c r="C235" s="364"/>
      <c r="E235" s="364"/>
      <c r="F235" s="364"/>
      <c r="G235" s="364"/>
      <c r="H235" s="364"/>
      <c r="J235" s="364"/>
      <c r="K235" s="364"/>
      <c r="O235" s="365"/>
    </row>
    <row r="236" ht="12.75" customHeight="1">
      <c r="C236" s="364"/>
      <c r="E236" s="364"/>
      <c r="F236" s="364"/>
      <c r="G236" s="364"/>
      <c r="H236" s="364"/>
      <c r="J236" s="364"/>
      <c r="K236" s="364"/>
      <c r="O236" s="365"/>
    </row>
    <row r="237" ht="12.75" customHeight="1">
      <c r="C237" s="364"/>
      <c r="E237" s="364"/>
      <c r="F237" s="364"/>
      <c r="G237" s="364"/>
      <c r="H237" s="364"/>
      <c r="J237" s="364"/>
      <c r="K237" s="364"/>
      <c r="O237" s="365"/>
    </row>
    <row r="238" ht="12.75" customHeight="1">
      <c r="C238" s="364"/>
      <c r="E238" s="364"/>
      <c r="F238" s="364"/>
      <c r="G238" s="364"/>
      <c r="H238" s="364"/>
      <c r="J238" s="364"/>
      <c r="K238" s="364"/>
      <c r="O238" s="365"/>
    </row>
    <row r="239" ht="12.75" customHeight="1">
      <c r="C239" s="364"/>
      <c r="E239" s="364"/>
      <c r="F239" s="364"/>
      <c r="G239" s="364"/>
      <c r="H239" s="364"/>
      <c r="J239" s="364"/>
      <c r="K239" s="364"/>
      <c r="O239" s="365"/>
    </row>
    <row r="240" ht="12.75" customHeight="1">
      <c r="C240" s="364"/>
      <c r="E240" s="364"/>
      <c r="F240" s="364"/>
      <c r="G240" s="364"/>
      <c r="H240" s="364"/>
      <c r="J240" s="364"/>
      <c r="K240" s="364"/>
      <c r="O240" s="365"/>
    </row>
    <row r="241" ht="12.75" customHeight="1">
      <c r="C241" s="364"/>
      <c r="E241" s="364"/>
      <c r="F241" s="364"/>
      <c r="G241" s="364"/>
      <c r="H241" s="364"/>
      <c r="J241" s="364"/>
      <c r="K241" s="364"/>
      <c r="O241" s="365"/>
    </row>
    <row r="242" ht="12.75" customHeight="1">
      <c r="C242" s="364"/>
      <c r="E242" s="364"/>
      <c r="F242" s="364"/>
      <c r="G242" s="364"/>
      <c r="H242" s="364"/>
      <c r="J242" s="364"/>
      <c r="K242" s="364"/>
      <c r="O242" s="365"/>
    </row>
    <row r="243" ht="12.75" customHeight="1">
      <c r="C243" s="364"/>
      <c r="E243" s="364"/>
      <c r="F243" s="364"/>
      <c r="G243" s="364"/>
      <c r="H243" s="364"/>
      <c r="J243" s="364"/>
      <c r="K243" s="364"/>
      <c r="O243" s="365"/>
    </row>
    <row r="244" ht="12.75" customHeight="1">
      <c r="C244" s="364"/>
      <c r="E244" s="364"/>
      <c r="F244" s="364"/>
      <c r="G244" s="364"/>
      <c r="H244" s="364"/>
      <c r="J244" s="364"/>
      <c r="K244" s="364"/>
      <c r="O244" s="365"/>
    </row>
    <row r="245" ht="12.75" customHeight="1">
      <c r="C245" s="364"/>
      <c r="E245" s="364"/>
      <c r="F245" s="364"/>
      <c r="G245" s="364"/>
      <c r="H245" s="364"/>
      <c r="J245" s="364"/>
      <c r="K245" s="364"/>
      <c r="O245" s="365"/>
    </row>
    <row r="246" ht="12.75" customHeight="1">
      <c r="C246" s="364"/>
      <c r="E246" s="364"/>
      <c r="F246" s="364"/>
      <c r="G246" s="364"/>
      <c r="H246" s="364"/>
      <c r="J246" s="364"/>
      <c r="K246" s="364"/>
      <c r="O246" s="365"/>
    </row>
    <row r="247" ht="12.75" customHeight="1">
      <c r="C247" s="364"/>
      <c r="E247" s="364"/>
      <c r="F247" s="364"/>
      <c r="G247" s="364"/>
      <c r="H247" s="364"/>
      <c r="J247" s="364"/>
      <c r="K247" s="364"/>
      <c r="O247" s="365"/>
    </row>
    <row r="248" ht="12.75" customHeight="1">
      <c r="C248" s="364"/>
      <c r="E248" s="364"/>
      <c r="F248" s="364"/>
      <c r="G248" s="364"/>
      <c r="H248" s="364"/>
      <c r="J248" s="364"/>
      <c r="K248" s="364"/>
      <c r="O248" s="365"/>
    </row>
    <row r="249" ht="12.75" customHeight="1">
      <c r="C249" s="364"/>
      <c r="E249" s="364"/>
      <c r="F249" s="364"/>
      <c r="G249" s="364"/>
      <c r="H249" s="364"/>
      <c r="J249" s="364"/>
      <c r="K249" s="364"/>
      <c r="O249" s="365"/>
    </row>
    <row r="250" ht="12.75" customHeight="1">
      <c r="C250" s="364"/>
      <c r="E250" s="364"/>
      <c r="F250" s="364"/>
      <c r="G250" s="364"/>
      <c r="H250" s="364"/>
      <c r="J250" s="364"/>
      <c r="K250" s="364"/>
      <c r="O250" s="365"/>
    </row>
    <row r="251" ht="12.75" customHeight="1">
      <c r="C251" s="364"/>
      <c r="E251" s="364"/>
      <c r="F251" s="364"/>
      <c r="G251" s="364"/>
      <c r="H251" s="364"/>
      <c r="J251" s="364"/>
      <c r="K251" s="364"/>
      <c r="O251" s="365"/>
    </row>
    <row r="252" ht="12.75" customHeight="1">
      <c r="C252" s="364"/>
      <c r="E252" s="364"/>
      <c r="F252" s="364"/>
      <c r="G252" s="364"/>
      <c r="H252" s="364"/>
      <c r="J252" s="364"/>
      <c r="K252" s="364"/>
      <c r="O252" s="365"/>
    </row>
    <row r="253" ht="12.75" customHeight="1">
      <c r="C253" s="364"/>
      <c r="E253" s="364"/>
      <c r="F253" s="364"/>
      <c r="G253" s="364"/>
      <c r="H253" s="364"/>
      <c r="J253" s="364"/>
      <c r="K253" s="364"/>
      <c r="O253" s="365"/>
    </row>
    <row r="254" ht="12.75" customHeight="1">
      <c r="C254" s="364"/>
      <c r="E254" s="364"/>
      <c r="F254" s="364"/>
      <c r="G254" s="364"/>
      <c r="H254" s="364"/>
      <c r="J254" s="364"/>
      <c r="K254" s="364"/>
      <c r="O254" s="365"/>
    </row>
    <row r="255" ht="12.75" customHeight="1">
      <c r="C255" s="364"/>
      <c r="E255" s="364"/>
      <c r="F255" s="364"/>
      <c r="G255" s="364"/>
      <c r="H255" s="364"/>
      <c r="J255" s="364"/>
      <c r="K255" s="364"/>
      <c r="O255" s="365"/>
    </row>
    <row r="256" ht="12.75" customHeight="1">
      <c r="C256" s="364"/>
      <c r="E256" s="364"/>
      <c r="F256" s="364"/>
      <c r="G256" s="364"/>
      <c r="H256" s="364"/>
      <c r="J256" s="364"/>
      <c r="K256" s="364"/>
      <c r="O256" s="365"/>
    </row>
    <row r="257" ht="12.75" customHeight="1">
      <c r="C257" s="364"/>
      <c r="E257" s="364"/>
      <c r="F257" s="364"/>
      <c r="G257" s="364"/>
      <c r="H257" s="364"/>
      <c r="J257" s="364"/>
      <c r="K257" s="364"/>
      <c r="O257" s="365"/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N2:O2"/>
    <mergeCell ref="P2:Q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5" width="7.13"/>
    <col customWidth="1" min="6" max="6" width="5.25"/>
    <col customWidth="1" min="7" max="7" width="15.38"/>
    <col customWidth="1" min="8" max="8" width="7.75"/>
    <col customWidth="1" min="9" max="9" width="7.13"/>
    <col customWidth="1" min="10" max="10" width="5.75"/>
    <col customWidth="1" min="11" max="11" width="17.0"/>
    <col customWidth="1" min="12" max="12" width="7.13"/>
  </cols>
  <sheetData>
    <row r="1">
      <c r="A1" s="629" t="s">
        <v>272</v>
      </c>
      <c r="B1" s="630"/>
      <c r="C1" s="630"/>
      <c r="D1" s="136"/>
      <c r="E1" s="631"/>
      <c r="F1" s="632" t="s">
        <v>273</v>
      </c>
      <c r="G1" s="630"/>
      <c r="H1" s="136"/>
      <c r="I1" s="631"/>
      <c r="J1" s="633" t="s">
        <v>274</v>
      </c>
      <c r="K1" s="630"/>
      <c r="L1" s="136"/>
      <c r="M1" s="634"/>
    </row>
    <row r="2">
      <c r="A2" s="125" t="s">
        <v>275</v>
      </c>
      <c r="B2" s="124" t="s">
        <v>125</v>
      </c>
      <c r="C2" s="124" t="s">
        <v>126</v>
      </c>
      <c r="D2" s="124" t="s">
        <v>127</v>
      </c>
      <c r="E2" s="635"/>
      <c r="F2" s="124" t="s">
        <v>276</v>
      </c>
      <c r="G2" s="124" t="s">
        <v>277</v>
      </c>
      <c r="H2" s="124" t="s">
        <v>275</v>
      </c>
      <c r="I2" s="635"/>
      <c r="J2" s="124" t="s">
        <v>276</v>
      </c>
      <c r="K2" s="124" t="s">
        <v>277</v>
      </c>
      <c r="L2" s="124" t="s">
        <v>275</v>
      </c>
      <c r="M2" s="60"/>
    </row>
    <row r="3">
      <c r="A3" s="636"/>
      <c r="B3" s="637"/>
      <c r="C3" s="637"/>
      <c r="D3" s="127">
        <v>0.0</v>
      </c>
      <c r="E3" s="635"/>
      <c r="F3" s="127">
        <v>1.0</v>
      </c>
      <c r="G3" s="636"/>
      <c r="H3" s="636"/>
      <c r="I3" s="635"/>
      <c r="J3" s="127">
        <v>1.0</v>
      </c>
      <c r="K3" s="636"/>
      <c r="L3" s="636"/>
      <c r="M3" s="60"/>
    </row>
    <row r="4">
      <c r="A4" s="636"/>
      <c r="B4" s="637"/>
      <c r="C4" s="637"/>
      <c r="D4" s="127">
        <v>0.0</v>
      </c>
      <c r="E4" s="635"/>
      <c r="F4" s="127">
        <v>2.0</v>
      </c>
      <c r="G4" s="636"/>
      <c r="H4" s="636"/>
      <c r="I4" s="635"/>
      <c r="J4" s="127">
        <v>2.0</v>
      </c>
      <c r="K4" s="636"/>
      <c r="L4" s="636"/>
      <c r="M4" s="60"/>
    </row>
    <row r="5">
      <c r="A5" s="636"/>
      <c r="B5" s="637"/>
      <c r="C5" s="637"/>
      <c r="D5" s="127">
        <v>0.0</v>
      </c>
      <c r="E5" s="635"/>
      <c r="F5" s="127">
        <v>3.0</v>
      </c>
      <c r="G5" s="636"/>
      <c r="H5" s="636"/>
      <c r="I5" s="635"/>
      <c r="J5" s="127">
        <v>3.0</v>
      </c>
      <c r="K5" s="636"/>
      <c r="L5" s="636"/>
      <c r="M5" s="60"/>
    </row>
    <row r="6">
      <c r="A6" s="636"/>
      <c r="B6" s="637"/>
      <c r="C6" s="637"/>
      <c r="D6" s="127">
        <v>0.0</v>
      </c>
      <c r="E6" s="635"/>
      <c r="F6" s="127">
        <v>4.0</v>
      </c>
      <c r="G6" s="636"/>
      <c r="H6" s="636"/>
      <c r="I6" s="635"/>
      <c r="J6" s="127">
        <v>4.0</v>
      </c>
      <c r="K6" s="636"/>
      <c r="L6" s="636"/>
      <c r="M6" s="60"/>
    </row>
    <row r="7">
      <c r="A7" s="636"/>
      <c r="B7" s="637"/>
      <c r="C7" s="637"/>
      <c r="D7" s="127">
        <v>0.0</v>
      </c>
      <c r="E7" s="635"/>
      <c r="F7" s="127">
        <v>5.0</v>
      </c>
      <c r="G7" s="636"/>
      <c r="H7" s="636"/>
      <c r="I7" s="635"/>
      <c r="J7" s="127">
        <v>5.0</v>
      </c>
      <c r="K7" s="636"/>
      <c r="L7" s="636"/>
      <c r="M7" s="60"/>
    </row>
    <row r="8">
      <c r="A8" s="636"/>
      <c r="B8" s="637"/>
      <c r="C8" s="637"/>
      <c r="D8" s="127">
        <v>0.0</v>
      </c>
      <c r="E8" s="635"/>
      <c r="F8" s="127">
        <v>6.0</v>
      </c>
      <c r="G8" s="636"/>
      <c r="H8" s="636"/>
      <c r="I8" s="635"/>
      <c r="J8" s="127">
        <v>6.0</v>
      </c>
      <c r="K8" s="636"/>
      <c r="L8" s="636"/>
      <c r="M8" s="60"/>
    </row>
    <row r="9">
      <c r="A9" s="636"/>
      <c r="B9" s="637"/>
      <c r="C9" s="637"/>
      <c r="D9" s="127">
        <v>0.0</v>
      </c>
      <c r="E9" s="635"/>
      <c r="F9" s="127">
        <v>7.0</v>
      </c>
      <c r="G9" s="636"/>
      <c r="H9" s="636"/>
      <c r="I9" s="635"/>
      <c r="J9" s="127">
        <v>7.0</v>
      </c>
      <c r="K9" s="636"/>
      <c r="L9" s="636"/>
      <c r="M9" s="60"/>
    </row>
    <row r="10">
      <c r="A10" s="636"/>
      <c r="B10" s="637"/>
      <c r="C10" s="637"/>
      <c r="D10" s="127">
        <v>0.0</v>
      </c>
      <c r="E10" s="635"/>
      <c r="F10" s="127">
        <v>8.0</v>
      </c>
      <c r="G10" s="636"/>
      <c r="H10" s="636"/>
      <c r="I10" s="635"/>
      <c r="J10" s="127">
        <v>8.0</v>
      </c>
      <c r="K10" s="636"/>
      <c r="L10" s="636"/>
      <c r="M10" s="60"/>
    </row>
    <row r="11">
      <c r="A11" s="636"/>
      <c r="B11" s="637"/>
      <c r="C11" s="637"/>
      <c r="D11" s="127">
        <v>0.0</v>
      </c>
      <c r="E11" s="635"/>
      <c r="F11" s="127">
        <v>9.0</v>
      </c>
      <c r="G11" s="636"/>
      <c r="H11" s="636"/>
      <c r="I11" s="635"/>
      <c r="J11" s="127">
        <v>9.0</v>
      </c>
      <c r="K11" s="636"/>
      <c r="L11" s="636"/>
      <c r="M11" s="60"/>
    </row>
    <row r="12">
      <c r="A12" s="636"/>
      <c r="B12" s="637"/>
      <c r="C12" s="637"/>
      <c r="D12" s="127">
        <v>0.0</v>
      </c>
      <c r="E12" s="635"/>
      <c r="F12" s="127">
        <v>10.0</v>
      </c>
      <c r="G12" s="636"/>
      <c r="H12" s="636"/>
      <c r="I12" s="635"/>
      <c r="J12" s="127">
        <v>10.0</v>
      </c>
      <c r="K12" s="636"/>
      <c r="L12" s="636"/>
      <c r="M12" s="60"/>
    </row>
    <row r="13">
      <c r="A13" s="636"/>
      <c r="B13" s="637"/>
      <c r="C13" s="637"/>
      <c r="D13" s="127">
        <v>0.0</v>
      </c>
      <c r="E13" s="635"/>
      <c r="F13" s="127">
        <v>11.0</v>
      </c>
      <c r="G13" s="636"/>
      <c r="H13" s="636"/>
      <c r="I13" s="635"/>
      <c r="J13" s="127">
        <v>11.0</v>
      </c>
      <c r="K13" s="636"/>
      <c r="L13" s="636"/>
      <c r="M13" s="60"/>
    </row>
    <row r="14">
      <c r="A14" s="636"/>
      <c r="B14" s="637"/>
      <c r="C14" s="637"/>
      <c r="D14" s="127">
        <v>0.0</v>
      </c>
      <c r="E14" s="635"/>
      <c r="F14" s="127">
        <v>12.0</v>
      </c>
      <c r="G14" s="636"/>
      <c r="H14" s="636"/>
      <c r="I14" s="635"/>
      <c r="J14" s="127">
        <v>12.0</v>
      </c>
      <c r="K14" s="636"/>
      <c r="L14" s="636"/>
      <c r="M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</row>
  </sheetData>
  <mergeCells count="3">
    <mergeCell ref="A1:D1"/>
    <mergeCell ref="F1:H1"/>
    <mergeCell ref="J1:L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5" width="7.13"/>
    <col customWidth="1" min="6" max="6" width="5.25"/>
    <col customWidth="1" min="7" max="7" width="15.38"/>
    <col customWidth="1" min="8" max="8" width="7.75"/>
    <col customWidth="1" min="9" max="9" width="7.13"/>
    <col customWidth="1" min="10" max="10" width="5.75"/>
    <col customWidth="1" min="11" max="11" width="17.0"/>
    <col customWidth="1" min="12" max="12" width="7.13"/>
  </cols>
  <sheetData>
    <row r="1">
      <c r="A1" s="629" t="s">
        <v>272</v>
      </c>
      <c r="B1" s="630"/>
      <c r="C1" s="630"/>
      <c r="D1" s="136"/>
      <c r="E1" s="631"/>
      <c r="F1" s="632" t="s">
        <v>273</v>
      </c>
      <c r="G1" s="630"/>
      <c r="H1" s="136"/>
      <c r="I1" s="631"/>
      <c r="J1" s="633" t="s">
        <v>274</v>
      </c>
      <c r="K1" s="630"/>
      <c r="L1" s="136"/>
      <c r="M1" s="634"/>
    </row>
    <row r="2">
      <c r="A2" s="125" t="s">
        <v>275</v>
      </c>
      <c r="B2" s="124" t="s">
        <v>125</v>
      </c>
      <c r="C2" s="124" t="s">
        <v>126</v>
      </c>
      <c r="D2" s="124" t="s">
        <v>127</v>
      </c>
      <c r="E2" s="635"/>
      <c r="F2" s="124" t="s">
        <v>276</v>
      </c>
      <c r="G2" s="124" t="s">
        <v>277</v>
      </c>
      <c r="H2" s="124" t="s">
        <v>275</v>
      </c>
      <c r="I2" s="635"/>
      <c r="J2" s="124" t="s">
        <v>276</v>
      </c>
      <c r="K2" s="124" t="s">
        <v>277</v>
      </c>
      <c r="L2" s="124" t="s">
        <v>275</v>
      </c>
      <c r="M2" s="60"/>
    </row>
    <row r="3">
      <c r="A3" s="636" t="s">
        <v>181</v>
      </c>
      <c r="B3" s="637">
        <v>10.0</v>
      </c>
      <c r="C3" s="637">
        <v>4.0</v>
      </c>
      <c r="D3" s="127">
        <v>0.0</v>
      </c>
      <c r="E3" s="635"/>
      <c r="F3" s="127">
        <v>1.0</v>
      </c>
      <c r="G3" s="636" t="s">
        <v>278</v>
      </c>
      <c r="H3" s="636" t="s">
        <v>31</v>
      </c>
      <c r="I3" s="635"/>
      <c r="J3" s="127">
        <v>1.0</v>
      </c>
      <c r="K3" s="636" t="s">
        <v>145</v>
      </c>
      <c r="L3" s="636" t="s">
        <v>35</v>
      </c>
      <c r="M3" s="60"/>
    </row>
    <row r="4">
      <c r="A4" s="636" t="s">
        <v>278</v>
      </c>
      <c r="B4" s="637">
        <v>10.0</v>
      </c>
      <c r="C4" s="637">
        <v>4.0</v>
      </c>
      <c r="D4" s="127">
        <v>0.0</v>
      </c>
      <c r="E4" s="635"/>
      <c r="F4" s="127">
        <v>2.0</v>
      </c>
      <c r="G4" s="636" t="s">
        <v>279</v>
      </c>
      <c r="H4" s="636" t="s">
        <v>38</v>
      </c>
      <c r="I4" s="635"/>
      <c r="J4" s="127">
        <v>2.0</v>
      </c>
      <c r="K4" s="636" t="s">
        <v>280</v>
      </c>
      <c r="L4" s="636" t="s">
        <v>39</v>
      </c>
      <c r="M4" s="60"/>
    </row>
    <row r="5">
      <c r="A5" s="636" t="s">
        <v>281</v>
      </c>
      <c r="B5" s="637">
        <v>8.0</v>
      </c>
      <c r="C5" s="637">
        <v>6.0</v>
      </c>
      <c r="D5" s="127">
        <v>0.0</v>
      </c>
      <c r="E5" s="635"/>
      <c r="F5" s="127">
        <v>3.0</v>
      </c>
      <c r="G5" s="636" t="s">
        <v>153</v>
      </c>
      <c r="H5" s="636" t="s">
        <v>45</v>
      </c>
      <c r="I5" s="635"/>
      <c r="J5" s="127">
        <v>3.0</v>
      </c>
      <c r="K5" s="636" t="s">
        <v>151</v>
      </c>
      <c r="L5" s="636" t="s">
        <v>33</v>
      </c>
      <c r="M5" s="60"/>
    </row>
    <row r="6">
      <c r="A6" s="636" t="s">
        <v>147</v>
      </c>
      <c r="B6" s="637">
        <v>8.0</v>
      </c>
      <c r="C6" s="637">
        <v>6.0</v>
      </c>
      <c r="D6" s="127">
        <v>0.0</v>
      </c>
      <c r="E6" s="635"/>
      <c r="F6" s="127">
        <v>4.0</v>
      </c>
      <c r="G6" s="636" t="s">
        <v>147</v>
      </c>
      <c r="H6" s="636" t="s">
        <v>46</v>
      </c>
      <c r="I6" s="635"/>
      <c r="J6" s="127">
        <v>4.0</v>
      </c>
      <c r="K6" s="636" t="s">
        <v>282</v>
      </c>
      <c r="L6" s="636" t="s">
        <v>32</v>
      </c>
      <c r="M6" s="60"/>
    </row>
    <row r="7">
      <c r="A7" s="636" t="s">
        <v>283</v>
      </c>
      <c r="B7" s="637">
        <v>8.0</v>
      </c>
      <c r="C7" s="637">
        <v>6.0</v>
      </c>
      <c r="D7" s="127">
        <v>0.0</v>
      </c>
      <c r="E7" s="635"/>
      <c r="F7" s="127">
        <v>5.0</v>
      </c>
      <c r="G7" s="636" t="s">
        <v>155</v>
      </c>
      <c r="H7" s="636" t="s">
        <v>34</v>
      </c>
      <c r="I7" s="635"/>
      <c r="J7" s="127">
        <v>5.0</v>
      </c>
      <c r="K7" s="636" t="s">
        <v>160</v>
      </c>
      <c r="L7" s="636" t="s">
        <v>42</v>
      </c>
      <c r="M7" s="60"/>
    </row>
    <row r="8">
      <c r="A8" s="636" t="s">
        <v>153</v>
      </c>
      <c r="B8" s="637">
        <v>7.0</v>
      </c>
      <c r="C8" s="637">
        <v>7.0</v>
      </c>
      <c r="D8" s="127">
        <v>0.0</v>
      </c>
      <c r="E8" s="635"/>
      <c r="F8" s="127">
        <v>6.0</v>
      </c>
      <c r="G8" s="636" t="s">
        <v>283</v>
      </c>
      <c r="H8" s="636" t="s">
        <v>30</v>
      </c>
      <c r="I8" s="635"/>
      <c r="J8" s="127">
        <v>6.0</v>
      </c>
      <c r="K8" s="636" t="s">
        <v>149</v>
      </c>
      <c r="L8" s="636" t="s">
        <v>36</v>
      </c>
      <c r="M8" s="60"/>
    </row>
    <row r="9">
      <c r="A9" s="636" t="s">
        <v>149</v>
      </c>
      <c r="B9" s="637">
        <v>8.0</v>
      </c>
      <c r="C9" s="637">
        <v>6.0</v>
      </c>
      <c r="D9" s="127">
        <v>0.0</v>
      </c>
      <c r="E9" s="635"/>
      <c r="F9" s="127">
        <v>7.0</v>
      </c>
      <c r="G9" s="636" t="s">
        <v>149</v>
      </c>
      <c r="H9" s="636" t="s">
        <v>36</v>
      </c>
      <c r="I9" s="635"/>
      <c r="J9" s="127">
        <v>7.0</v>
      </c>
      <c r="K9" s="636" t="s">
        <v>283</v>
      </c>
      <c r="L9" s="636" t="s">
        <v>30</v>
      </c>
      <c r="M9" s="60"/>
    </row>
    <row r="10">
      <c r="A10" s="636" t="s">
        <v>160</v>
      </c>
      <c r="B10" s="637">
        <v>8.0</v>
      </c>
      <c r="C10" s="637">
        <v>6.0</v>
      </c>
      <c r="D10" s="127">
        <v>0.0</v>
      </c>
      <c r="E10" s="635"/>
      <c r="F10" s="127">
        <v>8.0</v>
      </c>
      <c r="G10" s="636" t="s">
        <v>160</v>
      </c>
      <c r="H10" s="636" t="s">
        <v>42</v>
      </c>
      <c r="I10" s="635"/>
      <c r="J10" s="127">
        <v>8.0</v>
      </c>
      <c r="K10" s="636" t="s">
        <v>155</v>
      </c>
      <c r="L10" s="636" t="s">
        <v>34</v>
      </c>
      <c r="M10" s="60"/>
    </row>
    <row r="11">
      <c r="A11" s="636" t="s">
        <v>282</v>
      </c>
      <c r="B11" s="637">
        <v>4.0</v>
      </c>
      <c r="C11" s="637">
        <v>10.0</v>
      </c>
      <c r="D11" s="127">
        <v>0.0</v>
      </c>
      <c r="E11" s="635"/>
      <c r="F11" s="127">
        <v>9.0</v>
      </c>
      <c r="G11" s="636" t="s">
        <v>145</v>
      </c>
      <c r="H11" s="636" t="s">
        <v>35</v>
      </c>
      <c r="I11" s="635"/>
      <c r="J11" s="127">
        <v>9.0</v>
      </c>
      <c r="K11" s="636" t="s">
        <v>147</v>
      </c>
      <c r="L11" s="636" t="s">
        <v>46</v>
      </c>
      <c r="M11" s="60"/>
    </row>
    <row r="12">
      <c r="A12" s="636" t="s">
        <v>151</v>
      </c>
      <c r="B12" s="637">
        <v>5.0</v>
      </c>
      <c r="C12" s="637">
        <v>9.0</v>
      </c>
      <c r="D12" s="127">
        <v>0.0</v>
      </c>
      <c r="E12" s="635"/>
      <c r="F12" s="127">
        <v>10.0</v>
      </c>
      <c r="G12" s="636" t="s">
        <v>151</v>
      </c>
      <c r="H12" s="636" t="s">
        <v>33</v>
      </c>
      <c r="I12" s="635"/>
      <c r="J12" s="127">
        <v>10.0</v>
      </c>
      <c r="K12" s="636" t="s">
        <v>153</v>
      </c>
      <c r="L12" s="636" t="s">
        <v>45</v>
      </c>
      <c r="M12" s="60"/>
    </row>
    <row r="13">
      <c r="A13" s="636" t="s">
        <v>280</v>
      </c>
      <c r="B13" s="637">
        <v>6.0</v>
      </c>
      <c r="C13" s="637">
        <v>8.0</v>
      </c>
      <c r="D13" s="127">
        <v>0.0</v>
      </c>
      <c r="E13" s="635"/>
      <c r="F13" s="127">
        <v>11.0</v>
      </c>
      <c r="G13" s="636" t="s">
        <v>282</v>
      </c>
      <c r="H13" s="636" t="s">
        <v>32</v>
      </c>
      <c r="I13" s="635"/>
      <c r="J13" s="127">
        <v>11.0</v>
      </c>
      <c r="K13" s="636" t="s">
        <v>279</v>
      </c>
      <c r="L13" s="636" t="s">
        <v>38</v>
      </c>
      <c r="M13" s="60"/>
    </row>
    <row r="14">
      <c r="A14" s="636" t="s">
        <v>145</v>
      </c>
      <c r="B14" s="637">
        <v>2.0</v>
      </c>
      <c r="C14" s="637">
        <v>12.0</v>
      </c>
      <c r="D14" s="127">
        <v>0.0</v>
      </c>
      <c r="E14" s="635"/>
      <c r="F14" s="127">
        <v>12.0</v>
      </c>
      <c r="G14" s="636" t="s">
        <v>143</v>
      </c>
      <c r="H14" s="636" t="s">
        <v>39</v>
      </c>
      <c r="I14" s="635"/>
      <c r="J14" s="127">
        <v>12.0</v>
      </c>
      <c r="K14" s="636" t="s">
        <v>284</v>
      </c>
      <c r="L14" s="636" t="s">
        <v>31</v>
      </c>
      <c r="M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</row>
  </sheetData>
  <mergeCells count="3">
    <mergeCell ref="A1:D1"/>
    <mergeCell ref="F1:H1"/>
    <mergeCell ref="J1:L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5" width="7.13"/>
    <col customWidth="1" min="6" max="6" width="5.25"/>
    <col customWidth="1" min="7" max="7" width="15.38"/>
    <col customWidth="1" min="8" max="8" width="7.75"/>
    <col customWidth="1" min="9" max="9" width="7.13"/>
    <col customWidth="1" min="10" max="10" width="5.75"/>
    <col customWidth="1" min="11" max="11" width="17.0"/>
    <col customWidth="1" min="12" max="12" width="7.13"/>
  </cols>
  <sheetData>
    <row r="1">
      <c r="A1" s="629" t="s">
        <v>272</v>
      </c>
      <c r="B1" s="630"/>
      <c r="C1" s="630"/>
      <c r="D1" s="136"/>
      <c r="E1" s="631"/>
      <c r="F1" s="632" t="s">
        <v>273</v>
      </c>
      <c r="G1" s="630"/>
      <c r="H1" s="136"/>
      <c r="I1" s="631"/>
      <c r="J1" s="633" t="s">
        <v>274</v>
      </c>
      <c r="K1" s="630"/>
      <c r="L1" s="136"/>
      <c r="M1" s="634"/>
    </row>
    <row r="2">
      <c r="A2" s="125" t="s">
        <v>275</v>
      </c>
      <c r="B2" s="124" t="s">
        <v>125</v>
      </c>
      <c r="C2" s="124" t="s">
        <v>126</v>
      </c>
      <c r="D2" s="124" t="s">
        <v>127</v>
      </c>
      <c r="E2" s="635"/>
      <c r="F2" s="124" t="s">
        <v>276</v>
      </c>
      <c r="G2" s="124" t="s">
        <v>277</v>
      </c>
      <c r="H2" s="124" t="s">
        <v>275</v>
      </c>
      <c r="I2" s="635"/>
      <c r="J2" s="124" t="s">
        <v>276</v>
      </c>
      <c r="K2" s="124" t="s">
        <v>277</v>
      </c>
      <c r="L2" s="124" t="s">
        <v>275</v>
      </c>
      <c r="M2" s="60"/>
    </row>
    <row r="3">
      <c r="A3" s="636" t="s">
        <v>158</v>
      </c>
      <c r="B3" s="637">
        <v>11.0</v>
      </c>
      <c r="C3" s="637">
        <v>3.0</v>
      </c>
      <c r="D3" s="127">
        <v>0.0</v>
      </c>
      <c r="E3" s="635"/>
      <c r="F3" s="127">
        <v>1.0</v>
      </c>
      <c r="G3" s="636" t="s">
        <v>166</v>
      </c>
      <c r="H3" s="636" t="s">
        <v>285</v>
      </c>
      <c r="I3" s="635"/>
      <c r="J3" s="127">
        <v>1.0</v>
      </c>
      <c r="K3" s="636" t="s">
        <v>286</v>
      </c>
      <c r="L3" s="636" t="s">
        <v>42</v>
      </c>
      <c r="M3" s="60"/>
    </row>
    <row r="4">
      <c r="A4" s="636" t="s">
        <v>278</v>
      </c>
      <c r="B4" s="637">
        <v>11.0</v>
      </c>
      <c r="C4" s="637">
        <v>4.0</v>
      </c>
      <c r="D4" s="127">
        <v>0.0</v>
      </c>
      <c r="E4" s="635"/>
      <c r="F4" s="127">
        <v>2.0</v>
      </c>
      <c r="G4" s="636" t="s">
        <v>155</v>
      </c>
      <c r="H4" s="636" t="s">
        <v>34</v>
      </c>
      <c r="I4" s="635"/>
      <c r="J4" s="127">
        <v>2.0</v>
      </c>
      <c r="K4" s="636" t="s">
        <v>287</v>
      </c>
      <c r="L4" s="636" t="s">
        <v>39</v>
      </c>
      <c r="M4" s="60"/>
    </row>
    <row r="5">
      <c r="A5" s="636" t="s">
        <v>165</v>
      </c>
      <c r="B5" s="637">
        <v>10.0</v>
      </c>
      <c r="C5" s="637">
        <v>4.0</v>
      </c>
      <c r="D5" s="127">
        <v>0.0</v>
      </c>
      <c r="E5" s="635"/>
      <c r="F5" s="127">
        <v>3.0</v>
      </c>
      <c r="G5" s="636" t="s">
        <v>288</v>
      </c>
      <c r="H5" s="636" t="s">
        <v>31</v>
      </c>
      <c r="I5" s="635"/>
      <c r="J5" s="127">
        <v>3.0</v>
      </c>
      <c r="K5" s="636" t="s">
        <v>153</v>
      </c>
      <c r="L5" s="636" t="s">
        <v>45</v>
      </c>
      <c r="M5" s="60"/>
    </row>
    <row r="6">
      <c r="A6" s="636" t="s">
        <v>166</v>
      </c>
      <c r="B6" s="637">
        <v>8.0</v>
      </c>
      <c r="C6" s="637">
        <v>6.0</v>
      </c>
      <c r="D6" s="127">
        <v>0.0</v>
      </c>
      <c r="E6" s="635"/>
      <c r="F6" s="127">
        <v>4.0</v>
      </c>
      <c r="G6" s="636" t="s">
        <v>158</v>
      </c>
      <c r="H6" s="636" t="s">
        <v>38</v>
      </c>
      <c r="I6" s="635"/>
      <c r="J6" s="127">
        <v>4.0</v>
      </c>
      <c r="K6" s="636" t="s">
        <v>149</v>
      </c>
      <c r="L6" s="636" t="s">
        <v>36</v>
      </c>
      <c r="M6" s="60"/>
    </row>
    <row r="7">
      <c r="A7" s="636" t="s">
        <v>145</v>
      </c>
      <c r="B7" s="637">
        <v>7.0</v>
      </c>
      <c r="C7" s="637">
        <v>7.0</v>
      </c>
      <c r="D7" s="127">
        <v>0.0</v>
      </c>
      <c r="E7" s="635"/>
      <c r="F7" s="127">
        <v>5.0</v>
      </c>
      <c r="G7" s="636" t="s">
        <v>145</v>
      </c>
      <c r="H7" s="636" t="s">
        <v>35</v>
      </c>
      <c r="I7" s="635"/>
      <c r="J7" s="127">
        <v>5.0</v>
      </c>
      <c r="K7" s="636" t="s">
        <v>169</v>
      </c>
      <c r="L7" s="636" t="s">
        <v>30</v>
      </c>
      <c r="M7" s="60"/>
    </row>
    <row r="8">
      <c r="A8" s="636" t="s">
        <v>155</v>
      </c>
      <c r="B8" s="637">
        <v>7.0</v>
      </c>
      <c r="C8" s="637">
        <v>7.0</v>
      </c>
      <c r="D8" s="127">
        <v>0.0</v>
      </c>
      <c r="E8" s="635"/>
      <c r="F8" s="127">
        <v>6.0</v>
      </c>
      <c r="G8" s="636" t="s">
        <v>151</v>
      </c>
      <c r="H8" s="636" t="s">
        <v>33</v>
      </c>
      <c r="I8" s="635"/>
      <c r="J8" s="127">
        <v>6.0</v>
      </c>
      <c r="K8" s="636" t="s">
        <v>147</v>
      </c>
      <c r="L8" s="636" t="s">
        <v>46</v>
      </c>
      <c r="M8" s="60"/>
    </row>
    <row r="9">
      <c r="A9" s="636" t="s">
        <v>147</v>
      </c>
      <c r="B9" s="637">
        <v>7.0</v>
      </c>
      <c r="C9" s="637">
        <v>7.0</v>
      </c>
      <c r="D9" s="127">
        <v>0.0</v>
      </c>
      <c r="E9" s="635"/>
      <c r="F9" s="127">
        <v>7.0</v>
      </c>
      <c r="G9" s="636" t="s">
        <v>289</v>
      </c>
      <c r="H9" s="636" t="s">
        <v>30</v>
      </c>
      <c r="I9" s="635"/>
      <c r="J9" s="127">
        <v>7.0</v>
      </c>
      <c r="K9" s="636" t="s">
        <v>151</v>
      </c>
      <c r="L9" s="636" t="s">
        <v>33</v>
      </c>
      <c r="M9" s="60"/>
    </row>
    <row r="10">
      <c r="A10" s="636" t="s">
        <v>169</v>
      </c>
      <c r="B10" s="637">
        <v>6.0</v>
      </c>
      <c r="C10" s="637">
        <v>8.0</v>
      </c>
      <c r="D10" s="127">
        <v>0.0</v>
      </c>
      <c r="E10" s="635"/>
      <c r="F10" s="127">
        <v>8.0</v>
      </c>
      <c r="G10" s="636" t="s">
        <v>280</v>
      </c>
      <c r="H10" s="636" t="s">
        <v>39</v>
      </c>
      <c r="I10" s="635"/>
      <c r="J10" s="127">
        <v>8.0</v>
      </c>
      <c r="K10" s="636" t="s">
        <v>145</v>
      </c>
      <c r="L10" s="636" t="s">
        <v>35</v>
      </c>
      <c r="M10" s="60"/>
    </row>
    <row r="11">
      <c r="A11" s="636" t="s">
        <v>149</v>
      </c>
      <c r="B11" s="637">
        <v>7.0</v>
      </c>
      <c r="C11" s="637">
        <v>7.0</v>
      </c>
      <c r="D11" s="127">
        <v>0.0</v>
      </c>
      <c r="E11" s="635"/>
      <c r="F11" s="127">
        <v>9.0</v>
      </c>
      <c r="G11" s="636" t="s">
        <v>149</v>
      </c>
      <c r="H11" s="636" t="s">
        <v>36</v>
      </c>
      <c r="I11" s="635"/>
      <c r="J11" s="127">
        <v>9.0</v>
      </c>
      <c r="K11" s="636" t="s">
        <v>158</v>
      </c>
      <c r="L11" s="636" t="s">
        <v>38</v>
      </c>
      <c r="M11" s="60"/>
    </row>
    <row r="12">
      <c r="A12" s="636" t="s">
        <v>153</v>
      </c>
      <c r="B12" s="637">
        <v>5.0</v>
      </c>
      <c r="C12" s="637">
        <v>9.0</v>
      </c>
      <c r="D12" s="127">
        <v>0.0</v>
      </c>
      <c r="E12" s="635"/>
      <c r="F12" s="127">
        <v>10.0</v>
      </c>
      <c r="G12" s="636" t="s">
        <v>147</v>
      </c>
      <c r="H12" s="636" t="s">
        <v>46</v>
      </c>
      <c r="I12" s="635"/>
      <c r="J12" s="127">
        <v>10.0</v>
      </c>
      <c r="K12" s="636" t="s">
        <v>288</v>
      </c>
      <c r="L12" s="636" t="s">
        <v>31</v>
      </c>
      <c r="M12" s="60"/>
    </row>
    <row r="13">
      <c r="A13" s="636" t="s">
        <v>180</v>
      </c>
      <c r="B13" s="637">
        <v>2.0</v>
      </c>
      <c r="C13" s="637">
        <v>12.0</v>
      </c>
      <c r="D13" s="127">
        <v>0.0</v>
      </c>
      <c r="E13" s="635"/>
      <c r="F13" s="127">
        <v>11.0</v>
      </c>
      <c r="G13" s="636" t="s">
        <v>153</v>
      </c>
      <c r="H13" s="636" t="s">
        <v>45</v>
      </c>
      <c r="I13" s="635"/>
      <c r="J13" s="127">
        <v>11.0</v>
      </c>
      <c r="K13" s="636" t="s">
        <v>155</v>
      </c>
      <c r="L13" s="636" t="s">
        <v>34</v>
      </c>
      <c r="M13" s="60"/>
    </row>
    <row r="14">
      <c r="A14" s="636" t="s">
        <v>172</v>
      </c>
      <c r="B14" s="637">
        <v>3.0</v>
      </c>
      <c r="C14" s="637">
        <v>11.0</v>
      </c>
      <c r="D14" s="127">
        <v>0.0</v>
      </c>
      <c r="E14" s="635"/>
      <c r="F14" s="127">
        <v>12.0</v>
      </c>
      <c r="G14" s="636" t="s">
        <v>172</v>
      </c>
      <c r="H14" s="636" t="s">
        <v>42</v>
      </c>
      <c r="I14" s="635"/>
      <c r="J14" s="127">
        <v>12.0</v>
      </c>
      <c r="K14" s="636" t="s">
        <v>166</v>
      </c>
      <c r="L14" s="636" t="s">
        <v>32</v>
      </c>
      <c r="M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</row>
  </sheetData>
  <mergeCells count="3">
    <mergeCell ref="A1:D1"/>
    <mergeCell ref="F1:H1"/>
    <mergeCell ref="J1:L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5" width="7.13"/>
    <col customWidth="1" min="6" max="6" width="5.25"/>
    <col customWidth="1" min="7" max="7" width="15.38"/>
    <col customWidth="1" min="8" max="8" width="7.75"/>
    <col customWidth="1" min="9" max="9" width="7.13"/>
    <col customWidth="1" min="10" max="10" width="5.75"/>
    <col customWidth="1" min="11" max="11" width="17.0"/>
    <col customWidth="1" min="12" max="12" width="7.13"/>
  </cols>
  <sheetData>
    <row r="1">
      <c r="A1" s="629" t="s">
        <v>272</v>
      </c>
      <c r="B1" s="630"/>
      <c r="C1" s="630"/>
      <c r="D1" s="136"/>
      <c r="E1" s="631"/>
      <c r="F1" s="632" t="s">
        <v>273</v>
      </c>
      <c r="G1" s="630"/>
      <c r="H1" s="136"/>
      <c r="I1" s="631"/>
      <c r="J1" s="633" t="s">
        <v>274</v>
      </c>
      <c r="K1" s="630"/>
      <c r="L1" s="136"/>
      <c r="M1" s="634"/>
    </row>
    <row r="2">
      <c r="A2" s="125" t="s">
        <v>275</v>
      </c>
      <c r="B2" s="124" t="s">
        <v>125</v>
      </c>
      <c r="C2" s="124" t="s">
        <v>126</v>
      </c>
      <c r="D2" s="124" t="s">
        <v>127</v>
      </c>
      <c r="E2" s="635"/>
      <c r="F2" s="124" t="s">
        <v>276</v>
      </c>
      <c r="G2" s="124" t="s">
        <v>277</v>
      </c>
      <c r="H2" s="124" t="s">
        <v>275</v>
      </c>
      <c r="I2" s="635"/>
      <c r="J2" s="124" t="s">
        <v>276</v>
      </c>
      <c r="K2" s="124" t="s">
        <v>277</v>
      </c>
      <c r="L2" s="124" t="s">
        <v>275</v>
      </c>
      <c r="M2" s="60"/>
    </row>
    <row r="3">
      <c r="A3" s="636" t="s">
        <v>33</v>
      </c>
      <c r="B3" s="127">
        <v>10.0</v>
      </c>
      <c r="C3" s="127">
        <v>4.0</v>
      </c>
      <c r="D3" s="127">
        <v>0.0</v>
      </c>
      <c r="E3" s="635"/>
      <c r="F3" s="127">
        <v>1.0</v>
      </c>
      <c r="G3" s="636" t="s">
        <v>290</v>
      </c>
      <c r="H3" s="636" t="s">
        <v>33</v>
      </c>
      <c r="I3" s="635"/>
      <c r="J3" s="127">
        <v>1.0</v>
      </c>
      <c r="K3" s="636" t="s">
        <v>291</v>
      </c>
      <c r="L3" s="636" t="s">
        <v>30</v>
      </c>
      <c r="M3" s="60"/>
    </row>
    <row r="4">
      <c r="A4" s="636" t="s">
        <v>38</v>
      </c>
      <c r="B4" s="127">
        <v>10.0</v>
      </c>
      <c r="C4" s="127">
        <v>4.0</v>
      </c>
      <c r="D4" s="127">
        <v>0.0</v>
      </c>
      <c r="E4" s="635"/>
      <c r="F4" s="127">
        <v>2.0</v>
      </c>
      <c r="G4" s="636" t="s">
        <v>181</v>
      </c>
      <c r="H4" s="636" t="s">
        <v>38</v>
      </c>
      <c r="I4" s="635"/>
      <c r="J4" s="127">
        <v>2.0</v>
      </c>
      <c r="K4" s="636" t="s">
        <v>292</v>
      </c>
      <c r="L4" s="636" t="s">
        <v>42</v>
      </c>
      <c r="M4" s="60"/>
    </row>
    <row r="5">
      <c r="A5" s="636" t="s">
        <v>39</v>
      </c>
      <c r="B5" s="127">
        <v>8.0</v>
      </c>
      <c r="C5" s="127">
        <v>6.0</v>
      </c>
      <c r="D5" s="127">
        <v>0.0</v>
      </c>
      <c r="E5" s="635"/>
      <c r="F5" s="127">
        <v>3.0</v>
      </c>
      <c r="G5" s="636" t="s">
        <v>145</v>
      </c>
      <c r="H5" s="636" t="s">
        <v>35</v>
      </c>
      <c r="I5" s="635"/>
      <c r="J5" s="127">
        <v>3.0</v>
      </c>
      <c r="K5" s="636" t="s">
        <v>293</v>
      </c>
      <c r="L5" s="636" t="s">
        <v>32</v>
      </c>
      <c r="M5" s="60"/>
    </row>
    <row r="6">
      <c r="A6" s="636" t="s">
        <v>46</v>
      </c>
      <c r="B6" s="127">
        <v>9.0</v>
      </c>
      <c r="C6" s="127">
        <v>5.0</v>
      </c>
      <c r="D6" s="127">
        <v>0.0</v>
      </c>
      <c r="E6" s="635"/>
      <c r="F6" s="127">
        <v>4.0</v>
      </c>
      <c r="G6" s="636" t="s">
        <v>182</v>
      </c>
      <c r="H6" s="636" t="s">
        <v>46</v>
      </c>
      <c r="I6" s="635"/>
      <c r="J6" s="127">
        <v>4.0</v>
      </c>
      <c r="K6" s="636" t="s">
        <v>153</v>
      </c>
      <c r="L6" s="636" t="s">
        <v>45</v>
      </c>
      <c r="M6" s="60"/>
    </row>
    <row r="7">
      <c r="A7" s="636" t="s">
        <v>36</v>
      </c>
      <c r="B7" s="127">
        <v>7.0</v>
      </c>
      <c r="C7" s="127">
        <v>7.0</v>
      </c>
      <c r="D7" s="127">
        <v>0.0</v>
      </c>
      <c r="E7" s="635"/>
      <c r="F7" s="127">
        <v>5.0</v>
      </c>
      <c r="G7" s="636" t="s">
        <v>143</v>
      </c>
      <c r="H7" s="636" t="s">
        <v>39</v>
      </c>
      <c r="I7" s="635"/>
      <c r="J7" s="127">
        <v>5.0</v>
      </c>
      <c r="K7" s="636" t="s">
        <v>155</v>
      </c>
      <c r="L7" s="636" t="s">
        <v>34</v>
      </c>
      <c r="M7" s="60"/>
    </row>
    <row r="8">
      <c r="A8" s="636" t="s">
        <v>35</v>
      </c>
      <c r="B8" s="127">
        <v>7.0</v>
      </c>
      <c r="C8" s="127">
        <v>7.0</v>
      </c>
      <c r="D8" s="127">
        <v>0.0</v>
      </c>
      <c r="E8" s="635"/>
      <c r="F8" s="127">
        <v>6.0</v>
      </c>
      <c r="G8" s="636" t="s">
        <v>149</v>
      </c>
      <c r="H8" s="636" t="s">
        <v>65</v>
      </c>
      <c r="I8" s="635"/>
      <c r="J8" s="127">
        <v>6.0</v>
      </c>
      <c r="K8" s="636" t="s">
        <v>294</v>
      </c>
      <c r="L8" s="636" t="s">
        <v>31</v>
      </c>
      <c r="M8" s="60"/>
    </row>
    <row r="9">
      <c r="A9" s="636" t="s">
        <v>31</v>
      </c>
      <c r="B9" s="127">
        <v>8.0</v>
      </c>
      <c r="C9" s="127">
        <v>6.0</v>
      </c>
      <c r="D9" s="127">
        <v>0.0</v>
      </c>
      <c r="E9" s="635"/>
      <c r="F9" s="127">
        <v>7.0</v>
      </c>
      <c r="G9" s="636" t="s">
        <v>294</v>
      </c>
      <c r="H9" s="636" t="s">
        <v>31</v>
      </c>
      <c r="I9" s="635"/>
      <c r="J9" s="127">
        <v>7.0</v>
      </c>
      <c r="K9" s="636" t="s">
        <v>149</v>
      </c>
      <c r="L9" s="636" t="s">
        <v>65</v>
      </c>
      <c r="M9" s="60"/>
    </row>
    <row r="10">
      <c r="A10" s="636" t="s">
        <v>34</v>
      </c>
      <c r="B10" s="127">
        <v>6.0</v>
      </c>
      <c r="C10" s="127">
        <v>8.0</v>
      </c>
      <c r="D10" s="127">
        <v>0.0</v>
      </c>
      <c r="E10" s="635"/>
      <c r="F10" s="127">
        <v>8.0</v>
      </c>
      <c r="G10" s="636" t="s">
        <v>155</v>
      </c>
      <c r="H10" s="636" t="s">
        <v>34</v>
      </c>
      <c r="I10" s="635"/>
      <c r="J10" s="127">
        <v>8.0</v>
      </c>
      <c r="K10" s="636" t="s">
        <v>143</v>
      </c>
      <c r="L10" s="636" t="s">
        <v>39</v>
      </c>
      <c r="M10" s="60"/>
    </row>
    <row r="11">
      <c r="A11" s="636" t="s">
        <v>45</v>
      </c>
      <c r="B11" s="127">
        <v>6.0</v>
      </c>
      <c r="C11" s="127">
        <v>8.0</v>
      </c>
      <c r="D11" s="127">
        <v>0.0</v>
      </c>
      <c r="E11" s="635"/>
      <c r="F11" s="127">
        <v>9.0</v>
      </c>
      <c r="G11" s="636" t="s">
        <v>153</v>
      </c>
      <c r="H11" s="636" t="s">
        <v>45</v>
      </c>
      <c r="I11" s="635"/>
      <c r="J11" s="127">
        <v>9.0</v>
      </c>
      <c r="K11" s="636" t="s">
        <v>182</v>
      </c>
      <c r="L11" s="636" t="s">
        <v>46</v>
      </c>
      <c r="M11" s="60"/>
    </row>
    <row r="12">
      <c r="A12" s="636" t="s">
        <v>32</v>
      </c>
      <c r="B12" s="127">
        <v>5.0</v>
      </c>
      <c r="C12" s="127">
        <v>9.0</v>
      </c>
      <c r="D12" s="127">
        <v>0.0</v>
      </c>
      <c r="E12" s="635"/>
      <c r="F12" s="127">
        <v>10.0</v>
      </c>
      <c r="G12" s="636" t="s">
        <v>292</v>
      </c>
      <c r="H12" s="636" t="s">
        <v>42</v>
      </c>
      <c r="I12" s="635"/>
      <c r="J12" s="127">
        <v>10.0</v>
      </c>
      <c r="K12" s="636" t="s">
        <v>145</v>
      </c>
      <c r="L12" s="636" t="s">
        <v>35</v>
      </c>
      <c r="M12" s="60"/>
    </row>
    <row r="13">
      <c r="A13" s="636" t="s">
        <v>42</v>
      </c>
      <c r="B13" s="127">
        <v>6.0</v>
      </c>
      <c r="C13" s="127">
        <v>8.0</v>
      </c>
      <c r="D13" s="127">
        <v>0.0</v>
      </c>
      <c r="E13" s="635"/>
      <c r="F13" s="127">
        <v>11.0</v>
      </c>
      <c r="G13" s="636" t="s">
        <v>293</v>
      </c>
      <c r="H13" s="636" t="s">
        <v>32</v>
      </c>
      <c r="I13" s="635"/>
      <c r="J13" s="127">
        <v>11.0</v>
      </c>
      <c r="K13" s="636" t="s">
        <v>181</v>
      </c>
      <c r="L13" s="636" t="s">
        <v>38</v>
      </c>
      <c r="M13" s="60"/>
    </row>
    <row r="14">
      <c r="A14" s="636" t="s">
        <v>30</v>
      </c>
      <c r="B14" s="127">
        <v>2.0</v>
      </c>
      <c r="C14" s="127">
        <v>12.0</v>
      </c>
      <c r="D14" s="127">
        <v>0.0</v>
      </c>
      <c r="E14" s="635"/>
      <c r="F14" s="127">
        <v>12.0</v>
      </c>
      <c r="G14" s="636" t="s">
        <v>291</v>
      </c>
      <c r="H14" s="636" t="s">
        <v>30</v>
      </c>
      <c r="I14" s="635"/>
      <c r="J14" s="127">
        <v>12.0</v>
      </c>
      <c r="K14" s="636" t="s">
        <v>290</v>
      </c>
      <c r="L14" s="636" t="s">
        <v>33</v>
      </c>
      <c r="M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</row>
  </sheetData>
  <mergeCells count="3">
    <mergeCell ref="A1:D1"/>
    <mergeCell ref="F1:H1"/>
    <mergeCell ref="J1:L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5" width="7.13"/>
    <col customWidth="1" min="6" max="6" width="5.25"/>
    <col customWidth="1" min="7" max="7" width="15.38"/>
    <col customWidth="1" min="8" max="8" width="7.75"/>
    <col customWidth="1" min="9" max="9" width="7.13"/>
    <col customWidth="1" min="10" max="10" width="5.75"/>
    <col customWidth="1" min="11" max="11" width="17.0"/>
    <col customWidth="1" min="12" max="12" width="7.13"/>
  </cols>
  <sheetData>
    <row r="1">
      <c r="A1" s="629" t="s">
        <v>272</v>
      </c>
      <c r="B1" s="630"/>
      <c r="C1" s="630"/>
      <c r="D1" s="136"/>
      <c r="E1" s="631"/>
      <c r="F1" s="632" t="s">
        <v>273</v>
      </c>
      <c r="G1" s="630"/>
      <c r="H1" s="136"/>
      <c r="I1" s="631"/>
      <c r="J1" s="633" t="s">
        <v>274</v>
      </c>
      <c r="K1" s="630"/>
      <c r="L1" s="136"/>
      <c r="M1" s="634"/>
      <c r="N1" s="638"/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</row>
    <row r="2">
      <c r="A2" s="124" t="s">
        <v>277</v>
      </c>
      <c r="B2" s="124" t="s">
        <v>125</v>
      </c>
      <c r="C2" s="124" t="s">
        <v>126</v>
      </c>
      <c r="D2" s="124" t="s">
        <v>127</v>
      </c>
      <c r="E2" s="635"/>
      <c r="F2" s="124" t="s">
        <v>276</v>
      </c>
      <c r="G2" s="124" t="s">
        <v>277</v>
      </c>
      <c r="H2" s="124" t="s">
        <v>275</v>
      </c>
      <c r="I2" s="635"/>
      <c r="J2" s="124" t="s">
        <v>276</v>
      </c>
      <c r="K2" s="124" t="s">
        <v>277</v>
      </c>
      <c r="L2" s="124" t="s">
        <v>275</v>
      </c>
      <c r="M2" s="60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639" t="s">
        <v>22</v>
      </c>
      <c r="B3" s="640">
        <v>4.0</v>
      </c>
      <c r="C3" s="640">
        <v>10.0</v>
      </c>
      <c r="D3" s="127">
        <v>0.0</v>
      </c>
      <c r="E3" s="635"/>
      <c r="F3" s="127">
        <v>1.0</v>
      </c>
      <c r="G3" s="639" t="s">
        <v>179</v>
      </c>
      <c r="H3" s="639" t="s">
        <v>34</v>
      </c>
      <c r="I3" s="635"/>
      <c r="J3" s="127">
        <v>1.0</v>
      </c>
      <c r="K3" s="639" t="s">
        <v>189</v>
      </c>
      <c r="L3" s="639" t="s">
        <v>30</v>
      </c>
      <c r="M3" s="60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639" t="s">
        <v>18</v>
      </c>
      <c r="B4" s="640">
        <v>4.0</v>
      </c>
      <c r="C4" s="640">
        <v>10.0</v>
      </c>
      <c r="D4" s="127">
        <v>0.0</v>
      </c>
      <c r="E4" s="635"/>
      <c r="F4" s="127">
        <v>2.0</v>
      </c>
      <c r="G4" s="639" t="s">
        <v>180</v>
      </c>
      <c r="H4" s="639" t="s">
        <v>39</v>
      </c>
      <c r="I4" s="635"/>
      <c r="J4" s="127">
        <v>2.0</v>
      </c>
      <c r="K4" s="639" t="s">
        <v>188</v>
      </c>
      <c r="L4" s="639" t="s">
        <v>178</v>
      </c>
      <c r="M4" s="60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639" t="s">
        <v>295</v>
      </c>
      <c r="B5" s="640">
        <v>2.0</v>
      </c>
      <c r="C5" s="640">
        <v>12.0</v>
      </c>
      <c r="D5" s="127">
        <v>0.0</v>
      </c>
      <c r="E5" s="635"/>
      <c r="F5" s="127">
        <v>3.0</v>
      </c>
      <c r="G5" s="639" t="s">
        <v>182</v>
      </c>
      <c r="H5" s="639" t="s">
        <v>46</v>
      </c>
      <c r="I5" s="635"/>
      <c r="J5" s="127">
        <v>3.0</v>
      </c>
      <c r="K5" s="639" t="s">
        <v>187</v>
      </c>
      <c r="L5" s="639" t="s">
        <v>37</v>
      </c>
      <c r="M5" s="60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639" t="s">
        <v>2</v>
      </c>
      <c r="B6" s="640">
        <v>4.0</v>
      </c>
      <c r="C6" s="640">
        <v>10.0</v>
      </c>
      <c r="D6" s="127">
        <v>0.0</v>
      </c>
      <c r="E6" s="635"/>
      <c r="F6" s="127">
        <v>4.0</v>
      </c>
      <c r="G6" s="639" t="s">
        <v>296</v>
      </c>
      <c r="H6" s="639" t="s">
        <v>33</v>
      </c>
      <c r="I6" s="635"/>
      <c r="J6" s="127">
        <v>4.0</v>
      </c>
      <c r="K6" s="639" t="s">
        <v>185</v>
      </c>
      <c r="L6" s="639" t="s">
        <v>42</v>
      </c>
      <c r="M6" s="60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639" t="s">
        <v>20</v>
      </c>
      <c r="B7" s="640">
        <v>8.0</v>
      </c>
      <c r="C7" s="640">
        <v>6.0</v>
      </c>
      <c r="D7" s="127">
        <v>0.0</v>
      </c>
      <c r="E7" s="635"/>
      <c r="F7" s="127">
        <v>5.0</v>
      </c>
      <c r="G7" s="639" t="s">
        <v>297</v>
      </c>
      <c r="H7" s="639" t="s">
        <v>31</v>
      </c>
      <c r="I7" s="635"/>
      <c r="J7" s="127">
        <v>5.0</v>
      </c>
      <c r="K7" s="639" t="s">
        <v>145</v>
      </c>
      <c r="L7" s="639" t="s">
        <v>35</v>
      </c>
      <c r="M7" s="60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639" t="s">
        <v>10</v>
      </c>
      <c r="B8" s="640">
        <v>8.0</v>
      </c>
      <c r="C8" s="640">
        <v>6.0</v>
      </c>
      <c r="D8" s="127">
        <v>0.0</v>
      </c>
      <c r="E8" s="635"/>
      <c r="F8" s="127">
        <v>6.0</v>
      </c>
      <c r="G8" s="639" t="s">
        <v>158</v>
      </c>
      <c r="H8" s="639" t="s">
        <v>38</v>
      </c>
      <c r="I8" s="635"/>
      <c r="J8" s="127">
        <v>6.0</v>
      </c>
      <c r="K8" s="639" t="s">
        <v>149</v>
      </c>
      <c r="L8" s="639" t="s">
        <v>36</v>
      </c>
      <c r="M8" s="60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636" t="s">
        <v>24</v>
      </c>
      <c r="B9" s="640">
        <v>8.0</v>
      </c>
      <c r="C9" s="640">
        <v>6.0</v>
      </c>
      <c r="D9" s="127">
        <v>0.0</v>
      </c>
      <c r="E9" s="635"/>
      <c r="F9" s="127">
        <v>7.0</v>
      </c>
      <c r="G9" s="639" t="s">
        <v>149</v>
      </c>
      <c r="H9" s="639" t="s">
        <v>36</v>
      </c>
      <c r="I9" s="635"/>
      <c r="J9" s="127">
        <v>7.0</v>
      </c>
      <c r="K9" s="639" t="s">
        <v>298</v>
      </c>
      <c r="L9" s="639" t="s">
        <v>31</v>
      </c>
      <c r="M9" s="60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639" t="s">
        <v>4</v>
      </c>
      <c r="B10" s="640">
        <v>7.0</v>
      </c>
      <c r="C10" s="640">
        <v>7.0</v>
      </c>
      <c r="D10" s="127">
        <v>0.0</v>
      </c>
      <c r="E10" s="635"/>
      <c r="F10" s="127">
        <v>8.0</v>
      </c>
      <c r="G10" s="639" t="s">
        <v>145</v>
      </c>
      <c r="H10" s="639" t="s">
        <v>35</v>
      </c>
      <c r="I10" s="635"/>
      <c r="J10" s="127">
        <v>8.0</v>
      </c>
      <c r="K10" s="639" t="s">
        <v>158</v>
      </c>
      <c r="L10" s="639" t="s">
        <v>38</v>
      </c>
      <c r="M10" s="60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639" t="s">
        <v>12</v>
      </c>
      <c r="B11" s="640">
        <v>9.0</v>
      </c>
      <c r="C11" s="640">
        <v>5.0</v>
      </c>
      <c r="D11" s="127">
        <v>0.0</v>
      </c>
      <c r="E11" s="635"/>
      <c r="F11" s="127">
        <v>9.0</v>
      </c>
      <c r="G11" s="639" t="s">
        <v>185</v>
      </c>
      <c r="H11" s="639" t="s">
        <v>42</v>
      </c>
      <c r="I11" s="635"/>
      <c r="J11" s="127">
        <v>9.0</v>
      </c>
      <c r="K11" s="639" t="s">
        <v>296</v>
      </c>
      <c r="L11" s="639" t="s">
        <v>33</v>
      </c>
      <c r="M11" s="60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639" t="s">
        <v>16</v>
      </c>
      <c r="B12" s="640">
        <v>9.0</v>
      </c>
      <c r="C12" s="640">
        <v>5.0</v>
      </c>
      <c r="D12" s="127">
        <v>0.0</v>
      </c>
      <c r="E12" s="635"/>
      <c r="F12" s="127">
        <v>10.0</v>
      </c>
      <c r="G12" s="639" t="s">
        <v>187</v>
      </c>
      <c r="H12" s="639" t="s">
        <v>37</v>
      </c>
      <c r="I12" s="635"/>
      <c r="J12" s="127">
        <v>10.0</v>
      </c>
      <c r="K12" s="639" t="s">
        <v>182</v>
      </c>
      <c r="L12" s="639" t="s">
        <v>46</v>
      </c>
      <c r="M12" s="60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639" t="s">
        <v>6</v>
      </c>
      <c r="B13" s="250">
        <v>10.0</v>
      </c>
      <c r="C13" s="250">
        <v>4.0</v>
      </c>
      <c r="D13" s="127">
        <v>0.0</v>
      </c>
      <c r="E13" s="635"/>
      <c r="F13" s="127">
        <v>11.0</v>
      </c>
      <c r="G13" s="639" t="s">
        <v>299</v>
      </c>
      <c r="H13" s="639" t="s">
        <v>30</v>
      </c>
      <c r="I13" s="635"/>
      <c r="J13" s="127">
        <v>11.0</v>
      </c>
      <c r="K13" s="639" t="s">
        <v>180</v>
      </c>
      <c r="L13" s="639" t="s">
        <v>39</v>
      </c>
      <c r="M13" s="60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639" t="s">
        <v>14</v>
      </c>
      <c r="B14" s="640">
        <v>11.0</v>
      </c>
      <c r="C14" s="640">
        <v>3.0</v>
      </c>
      <c r="D14" s="127">
        <v>0.0</v>
      </c>
      <c r="E14" s="635"/>
      <c r="F14" s="127">
        <v>12.0</v>
      </c>
      <c r="G14" s="639" t="s">
        <v>188</v>
      </c>
      <c r="H14" s="639" t="s">
        <v>178</v>
      </c>
      <c r="I14" s="635"/>
      <c r="J14" s="127">
        <v>12.0</v>
      </c>
      <c r="K14" s="639" t="s">
        <v>179</v>
      </c>
      <c r="L14" s="639" t="s">
        <v>34</v>
      </c>
      <c r="M14" s="60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3">
    <mergeCell ref="A1:D1"/>
    <mergeCell ref="F1:H1"/>
    <mergeCell ref="J1:L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7.0"/>
    <col customWidth="1" min="3" max="3" width="8.38"/>
    <col customWidth="1" min="4" max="4" width="6.0"/>
    <col customWidth="1" min="5" max="6" width="7.0"/>
    <col customWidth="1" min="7" max="7" width="16.38"/>
    <col customWidth="1" min="8" max="10" width="7.0"/>
    <col customWidth="1" min="11" max="11" width="16.38"/>
    <col customWidth="1" min="12" max="12" width="7.0"/>
  </cols>
  <sheetData>
    <row r="1">
      <c r="A1" s="364" t="s">
        <v>272</v>
      </c>
      <c r="C1" s="364"/>
      <c r="D1" s="364"/>
      <c r="F1" s="364" t="s">
        <v>273</v>
      </c>
      <c r="G1" s="364"/>
      <c r="J1" s="364" t="s">
        <v>274</v>
      </c>
    </row>
    <row r="2">
      <c r="A2" s="448" t="s">
        <v>277</v>
      </c>
      <c r="B2" s="449" t="s">
        <v>125</v>
      </c>
      <c r="C2" s="449" t="s">
        <v>126</v>
      </c>
      <c r="D2" s="641" t="s">
        <v>127</v>
      </c>
      <c r="F2" s="448" t="s">
        <v>276</v>
      </c>
      <c r="G2" s="449" t="s">
        <v>277</v>
      </c>
      <c r="H2" s="641" t="s">
        <v>275</v>
      </c>
      <c r="J2" s="448" t="s">
        <v>276</v>
      </c>
      <c r="K2" s="449" t="s">
        <v>277</v>
      </c>
      <c r="L2" s="641" t="s">
        <v>275</v>
      </c>
    </row>
    <row r="3">
      <c r="A3" s="338" t="s">
        <v>180</v>
      </c>
      <c r="B3" s="642">
        <v>10.0</v>
      </c>
      <c r="C3" s="642">
        <v>3.0</v>
      </c>
      <c r="D3" s="643">
        <v>0.0</v>
      </c>
      <c r="E3" s="12"/>
      <c r="F3" s="644">
        <v>1.0</v>
      </c>
      <c r="G3" s="434" t="s">
        <v>195</v>
      </c>
      <c r="H3" s="645" t="s">
        <v>35</v>
      </c>
      <c r="I3" s="12"/>
      <c r="J3" s="646">
        <v>1.0</v>
      </c>
      <c r="K3" s="647" t="s">
        <v>199</v>
      </c>
      <c r="L3" s="648" t="s">
        <v>42</v>
      </c>
    </row>
    <row r="4">
      <c r="A4" s="434" t="s">
        <v>191</v>
      </c>
      <c r="B4" s="330">
        <v>9.0</v>
      </c>
      <c r="C4" s="330">
        <v>4.0</v>
      </c>
      <c r="D4" s="649">
        <v>0.0</v>
      </c>
      <c r="E4" s="12"/>
      <c r="F4" s="650">
        <v>2.0</v>
      </c>
      <c r="G4" s="338" t="s">
        <v>191</v>
      </c>
      <c r="H4" s="651" t="s">
        <v>116</v>
      </c>
      <c r="I4" s="12"/>
      <c r="J4" s="652">
        <v>2.0</v>
      </c>
      <c r="K4" s="329" t="s">
        <v>201</v>
      </c>
      <c r="L4" s="645" t="s">
        <v>30</v>
      </c>
    </row>
    <row r="5">
      <c r="A5" s="434" t="s">
        <v>192</v>
      </c>
      <c r="B5" s="330">
        <v>9.0</v>
      </c>
      <c r="C5" s="330">
        <v>4.0</v>
      </c>
      <c r="D5" s="649">
        <v>0.0</v>
      </c>
      <c r="E5" s="12"/>
      <c r="F5" s="650">
        <v>3.0</v>
      </c>
      <c r="G5" s="338" t="s">
        <v>180</v>
      </c>
      <c r="H5" s="645" t="s">
        <v>39</v>
      </c>
      <c r="I5" s="12"/>
      <c r="J5" s="652">
        <v>3.0</v>
      </c>
      <c r="K5" s="653" t="s">
        <v>300</v>
      </c>
      <c r="L5" s="645" t="s">
        <v>178</v>
      </c>
    </row>
    <row r="6">
      <c r="A6" s="434" t="s">
        <v>193</v>
      </c>
      <c r="B6" s="330">
        <v>7.0</v>
      </c>
      <c r="C6" s="330">
        <v>6.0</v>
      </c>
      <c r="D6" s="649">
        <v>0.0</v>
      </c>
      <c r="E6" s="12"/>
      <c r="F6" s="650">
        <v>4.0</v>
      </c>
      <c r="G6" s="434" t="s">
        <v>193</v>
      </c>
      <c r="H6" s="645" t="s">
        <v>46</v>
      </c>
      <c r="I6" s="12"/>
      <c r="J6" s="652">
        <v>4.0</v>
      </c>
      <c r="K6" s="329" t="s">
        <v>196</v>
      </c>
      <c r="L6" s="645" t="s">
        <v>36</v>
      </c>
    </row>
    <row r="7">
      <c r="A7" s="338" t="s">
        <v>194</v>
      </c>
      <c r="B7" s="334">
        <v>6.0</v>
      </c>
      <c r="C7" s="334">
        <v>7.0</v>
      </c>
      <c r="D7" s="649">
        <v>0.0</v>
      </c>
      <c r="E7" s="12"/>
      <c r="F7" s="650">
        <v>5.0</v>
      </c>
      <c r="G7" s="338" t="s">
        <v>194</v>
      </c>
      <c r="H7" s="645" t="s">
        <v>37</v>
      </c>
      <c r="I7" s="12"/>
      <c r="J7" s="652">
        <v>5.0</v>
      </c>
      <c r="K7" s="329" t="s">
        <v>181</v>
      </c>
      <c r="L7" s="645" t="s">
        <v>38</v>
      </c>
    </row>
    <row r="8">
      <c r="A8" s="654" t="s">
        <v>195</v>
      </c>
      <c r="B8" s="655">
        <v>6.0</v>
      </c>
      <c r="C8" s="655">
        <v>7.0</v>
      </c>
      <c r="D8" s="656">
        <v>0.0</v>
      </c>
      <c r="E8" s="12"/>
      <c r="F8" s="657">
        <v>6.0</v>
      </c>
      <c r="G8" s="338" t="s">
        <v>192</v>
      </c>
      <c r="H8" s="651" t="s">
        <v>31</v>
      </c>
      <c r="I8" s="12"/>
      <c r="J8" s="658">
        <v>6.0</v>
      </c>
      <c r="K8" s="351" t="s">
        <v>200</v>
      </c>
      <c r="L8" s="659" t="s">
        <v>34</v>
      </c>
    </row>
    <row r="9">
      <c r="A9" s="329" t="s">
        <v>196</v>
      </c>
      <c r="B9" s="330">
        <v>6.0</v>
      </c>
      <c r="C9" s="330">
        <v>7.0</v>
      </c>
      <c r="D9" s="660">
        <v>0.0</v>
      </c>
      <c r="E9" s="12"/>
      <c r="F9" s="661">
        <v>7.0</v>
      </c>
      <c r="G9" s="647" t="s">
        <v>199</v>
      </c>
      <c r="H9" s="648" t="s">
        <v>42</v>
      </c>
      <c r="I9" s="12"/>
      <c r="J9" s="652">
        <v>7.0</v>
      </c>
      <c r="K9" s="647" t="s">
        <v>192</v>
      </c>
      <c r="L9" s="648" t="s">
        <v>31</v>
      </c>
    </row>
    <row r="10">
      <c r="A10" s="338" t="s">
        <v>198</v>
      </c>
      <c r="B10" s="334">
        <v>6.0</v>
      </c>
      <c r="C10" s="334">
        <v>7.0</v>
      </c>
      <c r="D10" s="649">
        <v>0.0</v>
      </c>
      <c r="E10" s="12"/>
      <c r="F10" s="650">
        <v>8.0</v>
      </c>
      <c r="G10" s="329" t="s">
        <v>201</v>
      </c>
      <c r="H10" s="645" t="s">
        <v>30</v>
      </c>
      <c r="I10" s="12"/>
      <c r="J10" s="652">
        <v>8.0</v>
      </c>
      <c r="K10" s="338" t="s">
        <v>194</v>
      </c>
      <c r="L10" s="645" t="s">
        <v>37</v>
      </c>
    </row>
    <row r="11">
      <c r="A11" s="329" t="s">
        <v>181</v>
      </c>
      <c r="B11" s="330">
        <v>5.0</v>
      </c>
      <c r="C11" s="330">
        <v>8.0</v>
      </c>
      <c r="D11" s="649">
        <v>0.0</v>
      </c>
      <c r="E11" s="12"/>
      <c r="F11" s="650">
        <v>9.0</v>
      </c>
      <c r="G11" s="653" t="s">
        <v>300</v>
      </c>
      <c r="H11" s="645" t="s">
        <v>178</v>
      </c>
      <c r="I11" s="12"/>
      <c r="J11" s="652">
        <v>9.0</v>
      </c>
      <c r="K11" s="434" t="s">
        <v>193</v>
      </c>
      <c r="L11" s="645" t="s">
        <v>46</v>
      </c>
    </row>
    <row r="12">
      <c r="A12" s="329" t="s">
        <v>199</v>
      </c>
      <c r="B12" s="330">
        <v>6.0</v>
      </c>
      <c r="C12" s="330">
        <v>7.0</v>
      </c>
      <c r="D12" s="649">
        <v>0.0</v>
      </c>
      <c r="E12" s="12"/>
      <c r="F12" s="650">
        <v>10.0</v>
      </c>
      <c r="G12" s="329" t="s">
        <v>196</v>
      </c>
      <c r="H12" s="645" t="s">
        <v>36</v>
      </c>
      <c r="I12" s="12"/>
      <c r="J12" s="652">
        <v>10.0</v>
      </c>
      <c r="K12" s="338" t="s">
        <v>180</v>
      </c>
      <c r="L12" s="645" t="s">
        <v>39</v>
      </c>
    </row>
    <row r="13">
      <c r="A13" s="329" t="s">
        <v>200</v>
      </c>
      <c r="B13" s="343">
        <v>2.0</v>
      </c>
      <c r="C13" s="343">
        <v>11.0</v>
      </c>
      <c r="D13" s="649">
        <v>0.0</v>
      </c>
      <c r="E13" s="12"/>
      <c r="F13" s="650">
        <v>11.0</v>
      </c>
      <c r="G13" s="329" t="s">
        <v>181</v>
      </c>
      <c r="H13" s="645" t="s">
        <v>38</v>
      </c>
      <c r="I13" s="12"/>
      <c r="J13" s="652">
        <v>11.0</v>
      </c>
      <c r="K13" s="434" t="s">
        <v>191</v>
      </c>
      <c r="L13" s="651" t="s">
        <v>116</v>
      </c>
    </row>
    <row r="14">
      <c r="A14" s="351" t="s">
        <v>201</v>
      </c>
      <c r="B14" s="352">
        <v>6.0</v>
      </c>
      <c r="C14" s="352">
        <v>7.0</v>
      </c>
      <c r="D14" s="656">
        <v>0.0</v>
      </c>
      <c r="E14" s="12"/>
      <c r="F14" s="657">
        <v>12.0</v>
      </c>
      <c r="G14" s="351" t="s">
        <v>200</v>
      </c>
      <c r="H14" s="659" t="s">
        <v>34</v>
      </c>
      <c r="I14" s="12"/>
      <c r="J14" s="658">
        <v>12.0</v>
      </c>
      <c r="K14" s="654" t="s">
        <v>195</v>
      </c>
      <c r="L14" s="659" t="s">
        <v>35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7.0"/>
    <col customWidth="1" min="3" max="3" width="8.38"/>
    <col customWidth="1" min="4" max="4" width="6.0"/>
    <col customWidth="1" min="5" max="6" width="7.0"/>
    <col customWidth="1" min="7" max="7" width="10.88"/>
    <col customWidth="1" min="8" max="10" width="7.0"/>
    <col customWidth="1" min="11" max="11" width="10.88"/>
    <col customWidth="1" min="12" max="12" width="7.0"/>
  </cols>
  <sheetData>
    <row r="1">
      <c r="A1" s="364" t="s">
        <v>272</v>
      </c>
      <c r="C1" s="364"/>
      <c r="D1" s="364"/>
      <c r="F1" s="364" t="s">
        <v>273</v>
      </c>
      <c r="G1" s="364"/>
      <c r="J1" s="364" t="s">
        <v>274</v>
      </c>
    </row>
    <row r="2">
      <c r="A2" s="448" t="s">
        <v>277</v>
      </c>
      <c r="B2" s="449" t="s">
        <v>125</v>
      </c>
      <c r="C2" s="449" t="s">
        <v>126</v>
      </c>
      <c r="D2" s="641" t="s">
        <v>127</v>
      </c>
      <c r="F2" s="448" t="s">
        <v>276</v>
      </c>
      <c r="G2" s="449" t="s">
        <v>277</v>
      </c>
      <c r="H2" s="641" t="s">
        <v>275</v>
      </c>
      <c r="J2" s="448" t="s">
        <v>276</v>
      </c>
      <c r="K2" s="449" t="s">
        <v>277</v>
      </c>
      <c r="L2" s="641" t="s">
        <v>275</v>
      </c>
    </row>
    <row r="3">
      <c r="A3" s="662" t="s">
        <v>209</v>
      </c>
      <c r="B3" s="663">
        <v>10.0</v>
      </c>
      <c r="C3" s="663">
        <v>3.0</v>
      </c>
      <c r="D3" s="643">
        <v>0.0</v>
      </c>
      <c r="E3" s="12"/>
      <c r="F3" s="644">
        <v>1.0</v>
      </c>
      <c r="G3" s="664" t="s">
        <v>301</v>
      </c>
      <c r="H3" s="648" t="s">
        <v>178</v>
      </c>
      <c r="I3" s="12"/>
      <c r="J3" s="644">
        <v>1.0</v>
      </c>
      <c r="K3" s="665" t="s">
        <v>216</v>
      </c>
      <c r="L3" s="651" t="s">
        <v>42</v>
      </c>
    </row>
    <row r="4">
      <c r="A4" s="666" t="s">
        <v>301</v>
      </c>
      <c r="B4" s="667">
        <v>9.0</v>
      </c>
      <c r="C4" s="667">
        <v>4.0</v>
      </c>
      <c r="D4" s="649">
        <v>0.0</v>
      </c>
      <c r="E4" s="12"/>
      <c r="F4" s="650">
        <v>2.0</v>
      </c>
      <c r="G4" s="665" t="s">
        <v>211</v>
      </c>
      <c r="H4" s="651" t="s">
        <v>31</v>
      </c>
      <c r="I4" s="12"/>
      <c r="J4" s="650">
        <v>2.0</v>
      </c>
      <c r="K4" s="653" t="s">
        <v>218</v>
      </c>
      <c r="L4" s="645" t="s">
        <v>116</v>
      </c>
    </row>
    <row r="5">
      <c r="A5" s="668" t="s">
        <v>143</v>
      </c>
      <c r="B5" s="667">
        <v>8.0</v>
      </c>
      <c r="C5" s="667">
        <v>5.0</v>
      </c>
      <c r="D5" s="649">
        <v>0.0</v>
      </c>
      <c r="E5" s="12"/>
      <c r="F5" s="650">
        <v>3.0</v>
      </c>
      <c r="G5" s="653" t="s">
        <v>143</v>
      </c>
      <c r="H5" s="645" t="s">
        <v>39</v>
      </c>
      <c r="I5" s="12"/>
      <c r="J5" s="650">
        <v>3.0</v>
      </c>
      <c r="K5" s="653" t="s">
        <v>149</v>
      </c>
      <c r="L5" s="645" t="s">
        <v>36</v>
      </c>
    </row>
    <row r="6">
      <c r="A6" s="668" t="s">
        <v>187</v>
      </c>
      <c r="B6" s="667">
        <v>7.0</v>
      </c>
      <c r="C6" s="667">
        <v>6.0</v>
      </c>
      <c r="D6" s="649">
        <v>0.0</v>
      </c>
      <c r="E6" s="12"/>
      <c r="F6" s="650">
        <v>4.0</v>
      </c>
      <c r="G6" s="653" t="s">
        <v>209</v>
      </c>
      <c r="H6" s="645" t="s">
        <v>38</v>
      </c>
      <c r="I6" s="12"/>
      <c r="J6" s="650">
        <v>4.0</v>
      </c>
      <c r="K6" s="653" t="s">
        <v>184</v>
      </c>
      <c r="L6" s="645" t="s">
        <v>35</v>
      </c>
    </row>
    <row r="7">
      <c r="A7" s="668" t="s">
        <v>302</v>
      </c>
      <c r="B7" s="667">
        <v>7.0</v>
      </c>
      <c r="C7" s="667">
        <v>6.0</v>
      </c>
      <c r="D7" s="649">
        <v>0.0</v>
      </c>
      <c r="E7" s="12"/>
      <c r="F7" s="650">
        <v>5.0</v>
      </c>
      <c r="G7" s="653" t="s">
        <v>235</v>
      </c>
      <c r="H7" s="645" t="s">
        <v>30</v>
      </c>
      <c r="I7" s="12"/>
      <c r="J7" s="650">
        <v>5.0</v>
      </c>
      <c r="K7" s="653" t="s">
        <v>217</v>
      </c>
      <c r="L7" s="645" t="s">
        <v>43</v>
      </c>
    </row>
    <row r="8">
      <c r="A8" s="669" t="s">
        <v>235</v>
      </c>
      <c r="B8" s="670">
        <v>7.0</v>
      </c>
      <c r="C8" s="670">
        <v>6.0</v>
      </c>
      <c r="D8" s="656">
        <v>0.0</v>
      </c>
      <c r="E8" s="12"/>
      <c r="F8" s="657">
        <v>6.0</v>
      </c>
      <c r="G8" s="671" t="s">
        <v>187</v>
      </c>
      <c r="H8" s="659" t="s">
        <v>37</v>
      </c>
      <c r="I8" s="12"/>
      <c r="J8" s="657">
        <v>6.0</v>
      </c>
      <c r="K8" s="671" t="s">
        <v>237</v>
      </c>
      <c r="L8" s="659" t="s">
        <v>34</v>
      </c>
    </row>
    <row r="9">
      <c r="A9" s="668" t="s">
        <v>184</v>
      </c>
      <c r="B9" s="667">
        <v>7.0</v>
      </c>
      <c r="C9" s="667">
        <v>6.0</v>
      </c>
      <c r="D9" s="660">
        <v>0.0</v>
      </c>
      <c r="E9" s="12"/>
      <c r="F9" s="661">
        <v>7.0</v>
      </c>
      <c r="G9" s="665" t="s">
        <v>216</v>
      </c>
      <c r="H9" s="651" t="s">
        <v>42</v>
      </c>
      <c r="I9" s="12"/>
      <c r="J9" s="650">
        <v>7.0</v>
      </c>
      <c r="K9" s="653" t="s">
        <v>187</v>
      </c>
      <c r="L9" s="645" t="s">
        <v>37</v>
      </c>
    </row>
    <row r="10">
      <c r="A10" s="668" t="s">
        <v>237</v>
      </c>
      <c r="B10" s="667">
        <v>7.0</v>
      </c>
      <c r="C10" s="667">
        <v>6.0</v>
      </c>
      <c r="D10" s="649">
        <v>0.0</v>
      </c>
      <c r="E10" s="12"/>
      <c r="F10" s="650">
        <v>8.0</v>
      </c>
      <c r="G10" s="653" t="s">
        <v>218</v>
      </c>
      <c r="H10" s="645" t="s">
        <v>116</v>
      </c>
      <c r="I10" s="12"/>
      <c r="J10" s="650">
        <v>8.0</v>
      </c>
      <c r="K10" s="653" t="s">
        <v>235</v>
      </c>
      <c r="L10" s="645" t="s">
        <v>30</v>
      </c>
    </row>
    <row r="11">
      <c r="A11" s="666" t="s">
        <v>149</v>
      </c>
      <c r="B11" s="667">
        <v>5.0</v>
      </c>
      <c r="C11" s="667">
        <v>8.0</v>
      </c>
      <c r="D11" s="649">
        <v>0.0</v>
      </c>
      <c r="E11" s="12"/>
      <c r="F11" s="650">
        <v>9.0</v>
      </c>
      <c r="G11" s="653" t="s">
        <v>149</v>
      </c>
      <c r="H11" s="645" t="s">
        <v>36</v>
      </c>
      <c r="I11" s="12"/>
      <c r="J11" s="650">
        <v>9.0</v>
      </c>
      <c r="K11" s="653" t="s">
        <v>209</v>
      </c>
      <c r="L11" s="645" t="s">
        <v>38</v>
      </c>
    </row>
    <row r="12">
      <c r="A12" s="666" t="s">
        <v>216</v>
      </c>
      <c r="B12" s="667">
        <v>5.0</v>
      </c>
      <c r="C12" s="667">
        <v>8.0</v>
      </c>
      <c r="D12" s="649">
        <v>0.0</v>
      </c>
      <c r="E12" s="12"/>
      <c r="F12" s="650">
        <v>10.0</v>
      </c>
      <c r="G12" s="653" t="s">
        <v>184</v>
      </c>
      <c r="H12" s="645" t="s">
        <v>35</v>
      </c>
      <c r="I12" s="12"/>
      <c r="J12" s="650">
        <v>10.0</v>
      </c>
      <c r="K12" s="653" t="s">
        <v>143</v>
      </c>
      <c r="L12" s="645" t="s">
        <v>39</v>
      </c>
    </row>
    <row r="13">
      <c r="A13" s="666" t="s">
        <v>217</v>
      </c>
      <c r="B13" s="667">
        <v>3.0</v>
      </c>
      <c r="C13" s="667">
        <v>10.0</v>
      </c>
      <c r="D13" s="649">
        <v>0.0</v>
      </c>
      <c r="E13" s="12"/>
      <c r="F13" s="650">
        <v>11.0</v>
      </c>
      <c r="G13" s="653" t="s">
        <v>217</v>
      </c>
      <c r="H13" s="645" t="s">
        <v>43</v>
      </c>
      <c r="I13" s="12"/>
      <c r="J13" s="650">
        <v>11.0</v>
      </c>
      <c r="K13" s="665" t="s">
        <v>302</v>
      </c>
      <c r="L13" s="651" t="s">
        <v>31</v>
      </c>
    </row>
    <row r="14">
      <c r="A14" s="672" t="s">
        <v>218</v>
      </c>
      <c r="B14" s="673">
        <v>3.0</v>
      </c>
      <c r="C14" s="673">
        <v>10.0</v>
      </c>
      <c r="D14" s="656">
        <v>0.0</v>
      </c>
      <c r="E14" s="12"/>
      <c r="F14" s="657">
        <v>12.0</v>
      </c>
      <c r="G14" s="671" t="s">
        <v>237</v>
      </c>
      <c r="H14" s="659" t="s">
        <v>34</v>
      </c>
      <c r="I14" s="12"/>
      <c r="J14" s="657">
        <v>12.0</v>
      </c>
      <c r="K14" s="671" t="s">
        <v>301</v>
      </c>
      <c r="L14" s="659" t="s">
        <v>178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10.88"/>
    <col customWidth="1" min="2" max="2" width="7.0"/>
    <col customWidth="1" min="3" max="3" width="8.38"/>
    <col customWidth="1" min="4" max="4" width="6.0"/>
    <col customWidth="1" min="5" max="6" width="7.0"/>
    <col customWidth="1" min="7" max="7" width="10.88"/>
    <col customWidth="1" min="8" max="10" width="7.0"/>
    <col customWidth="1" min="11" max="11" width="10.88"/>
    <col customWidth="1" min="12" max="12" width="7.0"/>
    <col customWidth="1" min="13" max="26" width="11.0"/>
  </cols>
  <sheetData>
    <row r="1" ht="12.75" customHeight="1">
      <c r="A1" s="364" t="s">
        <v>272</v>
      </c>
      <c r="C1" s="364"/>
      <c r="D1" s="364"/>
      <c r="F1" s="364" t="s">
        <v>273</v>
      </c>
      <c r="G1" s="364"/>
      <c r="J1" s="364" t="s">
        <v>274</v>
      </c>
    </row>
    <row r="2" ht="12.75" customHeight="1">
      <c r="A2" s="448" t="s">
        <v>277</v>
      </c>
      <c r="B2" s="449" t="s">
        <v>125</v>
      </c>
      <c r="C2" s="449" t="s">
        <v>126</v>
      </c>
      <c r="D2" s="641" t="s">
        <v>127</v>
      </c>
      <c r="F2" s="448" t="s">
        <v>276</v>
      </c>
      <c r="G2" s="449" t="s">
        <v>277</v>
      </c>
      <c r="H2" s="641" t="s">
        <v>275</v>
      </c>
      <c r="J2" s="448" t="s">
        <v>276</v>
      </c>
      <c r="K2" s="449" t="s">
        <v>277</v>
      </c>
      <c r="L2" s="641" t="s">
        <v>275</v>
      </c>
    </row>
    <row r="3" ht="12.75" customHeight="1">
      <c r="A3" s="662" t="s">
        <v>234</v>
      </c>
      <c r="B3" s="663">
        <v>9.0</v>
      </c>
      <c r="C3" s="663">
        <v>4.0</v>
      </c>
      <c r="D3" s="674">
        <v>0.0</v>
      </c>
      <c r="E3" s="12"/>
      <c r="F3" s="644">
        <v>1.0</v>
      </c>
      <c r="G3" s="664" t="s">
        <v>149</v>
      </c>
      <c r="H3" s="648" t="s">
        <v>36</v>
      </c>
      <c r="I3" s="12"/>
      <c r="J3" s="644">
        <v>1.0</v>
      </c>
      <c r="K3" s="665" t="s">
        <v>238</v>
      </c>
      <c r="L3" s="651" t="s">
        <v>42</v>
      </c>
    </row>
    <row r="4" ht="12.75" customHeight="1">
      <c r="A4" s="666" t="s">
        <v>149</v>
      </c>
      <c r="B4" s="667">
        <v>8.0</v>
      </c>
      <c r="C4" s="667">
        <v>5.0</v>
      </c>
      <c r="D4" s="675">
        <v>0.0</v>
      </c>
      <c r="E4" s="12"/>
      <c r="F4" s="650">
        <v>2.0</v>
      </c>
      <c r="G4" s="665" t="s">
        <v>234</v>
      </c>
      <c r="H4" s="651" t="s">
        <v>31</v>
      </c>
      <c r="I4" s="12"/>
      <c r="J4" s="650">
        <v>2.0</v>
      </c>
      <c r="K4" s="653" t="s">
        <v>303</v>
      </c>
      <c r="L4" s="645" t="s">
        <v>43</v>
      </c>
    </row>
    <row r="5" ht="12.75" customHeight="1">
      <c r="A5" s="668" t="s">
        <v>235</v>
      </c>
      <c r="B5" s="667">
        <v>8.0</v>
      </c>
      <c r="C5" s="667">
        <v>5.0</v>
      </c>
      <c r="D5" s="675">
        <v>0.0</v>
      </c>
      <c r="E5" s="12"/>
      <c r="F5" s="650">
        <v>3.0</v>
      </c>
      <c r="G5" s="653" t="s">
        <v>304</v>
      </c>
      <c r="H5" s="645" t="s">
        <v>116</v>
      </c>
      <c r="I5" s="12"/>
      <c r="J5" s="650">
        <v>3.0</v>
      </c>
      <c r="K5" s="653" t="s">
        <v>143</v>
      </c>
      <c r="L5" s="645" t="s">
        <v>39</v>
      </c>
    </row>
    <row r="6" ht="12.75" customHeight="1">
      <c r="A6" s="668" t="s">
        <v>210</v>
      </c>
      <c r="B6" s="667">
        <v>7.0</v>
      </c>
      <c r="C6" s="667">
        <v>6.0</v>
      </c>
      <c r="D6" s="675">
        <v>0.0</v>
      </c>
      <c r="E6" s="12"/>
      <c r="F6" s="650">
        <v>4.0</v>
      </c>
      <c r="G6" s="653" t="s">
        <v>209</v>
      </c>
      <c r="H6" s="645" t="s">
        <v>38</v>
      </c>
      <c r="I6" s="12"/>
      <c r="J6" s="650">
        <v>4.0</v>
      </c>
      <c r="K6" s="653" t="s">
        <v>187</v>
      </c>
      <c r="L6" s="645" t="s">
        <v>37</v>
      </c>
    </row>
    <row r="7" ht="12.75" customHeight="1">
      <c r="A7" s="668" t="s">
        <v>209</v>
      </c>
      <c r="B7" s="667">
        <v>7.0</v>
      </c>
      <c r="C7" s="667">
        <v>6.0</v>
      </c>
      <c r="D7" s="675">
        <v>0.0</v>
      </c>
      <c r="E7" s="12"/>
      <c r="F7" s="650">
        <v>5.0</v>
      </c>
      <c r="G7" s="653" t="s">
        <v>301</v>
      </c>
      <c r="H7" s="645" t="s">
        <v>178</v>
      </c>
      <c r="I7" s="12"/>
      <c r="J7" s="650">
        <v>5.0</v>
      </c>
      <c r="K7" s="653" t="s">
        <v>237</v>
      </c>
      <c r="L7" s="645" t="s">
        <v>34</v>
      </c>
    </row>
    <row r="8" ht="12.75" customHeight="1">
      <c r="A8" s="669" t="s">
        <v>151</v>
      </c>
      <c r="B8" s="670">
        <v>7.0</v>
      </c>
      <c r="C8" s="670">
        <v>6.0</v>
      </c>
      <c r="D8" s="676">
        <v>0.0</v>
      </c>
      <c r="E8" s="12"/>
      <c r="F8" s="657">
        <v>6.0</v>
      </c>
      <c r="G8" s="671" t="s">
        <v>235</v>
      </c>
      <c r="H8" s="659" t="s">
        <v>30</v>
      </c>
      <c r="I8" s="12"/>
      <c r="J8" s="657">
        <v>6.0</v>
      </c>
      <c r="K8" s="671" t="s">
        <v>184</v>
      </c>
      <c r="L8" s="659" t="s">
        <v>35</v>
      </c>
    </row>
    <row r="9" ht="12.75" customHeight="1">
      <c r="A9" s="668" t="s">
        <v>143</v>
      </c>
      <c r="B9" s="667">
        <v>6.0</v>
      </c>
      <c r="C9" s="667">
        <v>7.0</v>
      </c>
      <c r="D9" s="677">
        <v>0.0</v>
      </c>
      <c r="E9" s="12"/>
      <c r="F9" s="661">
        <v>7.0</v>
      </c>
      <c r="G9" s="665" t="s">
        <v>238</v>
      </c>
      <c r="H9" s="651" t="s">
        <v>42</v>
      </c>
      <c r="I9" s="12"/>
      <c r="J9" s="650">
        <v>7.0</v>
      </c>
      <c r="K9" s="653" t="s">
        <v>235</v>
      </c>
      <c r="L9" s="645" t="s">
        <v>30</v>
      </c>
    </row>
    <row r="10" ht="12.75" customHeight="1">
      <c r="A10" s="668" t="s">
        <v>237</v>
      </c>
      <c r="B10" s="667">
        <v>6.0</v>
      </c>
      <c r="C10" s="667">
        <v>7.0</v>
      </c>
      <c r="D10" s="675">
        <v>0.0</v>
      </c>
      <c r="E10" s="12"/>
      <c r="F10" s="650">
        <v>8.0</v>
      </c>
      <c r="G10" s="653" t="s">
        <v>303</v>
      </c>
      <c r="H10" s="645" t="s">
        <v>43</v>
      </c>
      <c r="I10" s="12"/>
      <c r="J10" s="650">
        <v>8.0</v>
      </c>
      <c r="K10" s="653" t="s">
        <v>301</v>
      </c>
      <c r="L10" s="645" t="s">
        <v>178</v>
      </c>
    </row>
    <row r="11" ht="12.75" customHeight="1">
      <c r="A11" s="666" t="s">
        <v>217</v>
      </c>
      <c r="B11" s="667">
        <v>6.0</v>
      </c>
      <c r="C11" s="667">
        <v>7.0</v>
      </c>
      <c r="D11" s="675">
        <v>0.0</v>
      </c>
      <c r="E11" s="12"/>
      <c r="F11" s="650">
        <v>9.0</v>
      </c>
      <c r="G11" s="653" t="s">
        <v>143</v>
      </c>
      <c r="H11" s="645" t="s">
        <v>39</v>
      </c>
      <c r="I11" s="12"/>
      <c r="J11" s="650">
        <v>9.0</v>
      </c>
      <c r="K11" s="653" t="s">
        <v>209</v>
      </c>
      <c r="L11" s="645" t="s">
        <v>38</v>
      </c>
    </row>
    <row r="12" ht="12.75" customHeight="1">
      <c r="A12" s="666" t="s">
        <v>184</v>
      </c>
      <c r="B12" s="667">
        <v>6.0</v>
      </c>
      <c r="C12" s="667">
        <v>6.0</v>
      </c>
      <c r="D12" s="675">
        <v>0.0</v>
      </c>
      <c r="E12" s="12"/>
      <c r="F12" s="650">
        <v>10.0</v>
      </c>
      <c r="G12" s="653" t="s">
        <v>187</v>
      </c>
      <c r="H12" s="645" t="s">
        <v>37</v>
      </c>
      <c r="I12" s="12"/>
      <c r="J12" s="650">
        <v>10.0</v>
      </c>
      <c r="K12" s="653" t="s">
        <v>304</v>
      </c>
      <c r="L12" s="645" t="s">
        <v>116</v>
      </c>
    </row>
    <row r="13" ht="12.75" customHeight="1">
      <c r="A13" s="666" t="s">
        <v>187</v>
      </c>
      <c r="B13" s="667">
        <v>5.0</v>
      </c>
      <c r="C13" s="667">
        <v>8.0</v>
      </c>
      <c r="D13" s="675">
        <v>0.0</v>
      </c>
      <c r="E13" s="12"/>
      <c r="F13" s="650">
        <v>11.0</v>
      </c>
      <c r="G13" s="653" t="s">
        <v>237</v>
      </c>
      <c r="H13" s="645" t="s">
        <v>34</v>
      </c>
      <c r="I13" s="12"/>
      <c r="J13" s="650">
        <v>11.0</v>
      </c>
      <c r="K13" s="665" t="s">
        <v>234</v>
      </c>
      <c r="L13" s="651" t="s">
        <v>31</v>
      </c>
    </row>
    <row r="14" ht="12.75" customHeight="1">
      <c r="A14" s="672" t="s">
        <v>238</v>
      </c>
      <c r="B14" s="673">
        <v>4.0</v>
      </c>
      <c r="C14" s="673">
        <v>9.0</v>
      </c>
      <c r="D14" s="676">
        <v>0.0</v>
      </c>
      <c r="E14" s="12"/>
      <c r="F14" s="657">
        <v>12.0</v>
      </c>
      <c r="G14" s="671" t="s">
        <v>184</v>
      </c>
      <c r="H14" s="659" t="s">
        <v>35</v>
      </c>
      <c r="I14" s="12"/>
      <c r="J14" s="657">
        <v>12.0</v>
      </c>
      <c r="K14" s="678" t="s">
        <v>149</v>
      </c>
      <c r="L14" s="659" t="s">
        <v>36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10.88"/>
    <col customWidth="1" min="2" max="2" width="7.0"/>
    <col customWidth="1" min="3" max="3" width="8.38"/>
    <col customWidth="1" min="4" max="4" width="6.0"/>
    <col customWidth="1" min="5" max="6" width="7.0"/>
    <col customWidth="1" min="7" max="7" width="10.88"/>
    <col customWidth="1" min="8" max="10" width="7.0"/>
    <col customWidth="1" min="11" max="11" width="10.88"/>
    <col customWidth="1" min="12" max="12" width="7.0"/>
    <col customWidth="1" min="13" max="26" width="11.0"/>
  </cols>
  <sheetData>
    <row r="1" ht="12.75" customHeight="1">
      <c r="A1" s="364" t="s">
        <v>272</v>
      </c>
      <c r="C1" s="364"/>
      <c r="D1" s="364"/>
      <c r="F1" s="364" t="s">
        <v>273</v>
      </c>
      <c r="G1" s="364"/>
      <c r="J1" s="364" t="s">
        <v>274</v>
      </c>
    </row>
    <row r="2" ht="12.75" customHeight="1">
      <c r="A2" s="448" t="s">
        <v>277</v>
      </c>
      <c r="B2" s="449" t="s">
        <v>125</v>
      </c>
      <c r="C2" s="449" t="s">
        <v>126</v>
      </c>
      <c r="D2" s="641" t="s">
        <v>127</v>
      </c>
      <c r="F2" s="448" t="s">
        <v>276</v>
      </c>
      <c r="G2" s="449" t="s">
        <v>277</v>
      </c>
      <c r="H2" s="641" t="s">
        <v>275</v>
      </c>
      <c r="J2" s="448" t="s">
        <v>276</v>
      </c>
      <c r="K2" s="449" t="s">
        <v>277</v>
      </c>
      <c r="L2" s="641" t="s">
        <v>275</v>
      </c>
    </row>
    <row r="3" ht="12.75" customHeight="1">
      <c r="A3" s="679" t="s">
        <v>184</v>
      </c>
      <c r="B3" s="680">
        <v>10.0</v>
      </c>
      <c r="C3" s="680">
        <v>3.0</v>
      </c>
      <c r="D3" s="681">
        <v>0.0</v>
      </c>
      <c r="F3" s="682">
        <v>1.0</v>
      </c>
      <c r="G3" s="679" t="s">
        <v>187</v>
      </c>
      <c r="H3" s="683" t="s">
        <v>37</v>
      </c>
      <c r="J3" s="682">
        <v>1.0</v>
      </c>
      <c r="K3" s="679" t="s">
        <v>305</v>
      </c>
      <c r="L3" s="683" t="s">
        <v>248</v>
      </c>
    </row>
    <row r="4" ht="12.75" customHeight="1">
      <c r="A4" s="684" t="s">
        <v>187</v>
      </c>
      <c r="B4" s="685">
        <v>9.0</v>
      </c>
      <c r="C4" s="685">
        <v>4.0</v>
      </c>
      <c r="D4" s="686">
        <v>0.0</v>
      </c>
      <c r="F4" s="687">
        <v>2.0</v>
      </c>
      <c r="G4" s="684" t="s">
        <v>143</v>
      </c>
      <c r="H4" s="688" t="s">
        <v>39</v>
      </c>
      <c r="J4" s="687">
        <v>2.0</v>
      </c>
      <c r="K4" s="689" t="s">
        <v>151</v>
      </c>
      <c r="L4" s="690" t="s">
        <v>116</v>
      </c>
    </row>
    <row r="5" ht="12.75" customHeight="1">
      <c r="A5" s="689" t="s">
        <v>209</v>
      </c>
      <c r="B5" s="685">
        <v>9.0</v>
      </c>
      <c r="C5" s="685">
        <v>4.0</v>
      </c>
      <c r="D5" s="686">
        <v>0.0</v>
      </c>
      <c r="F5" s="687">
        <v>3.0</v>
      </c>
      <c r="G5" s="689" t="s">
        <v>184</v>
      </c>
      <c r="H5" s="690" t="s">
        <v>35</v>
      </c>
      <c r="J5" s="687">
        <v>3.0</v>
      </c>
      <c r="K5" s="689" t="s">
        <v>306</v>
      </c>
      <c r="L5" s="690" t="s">
        <v>43</v>
      </c>
    </row>
    <row r="6" ht="12.75" customHeight="1">
      <c r="A6" s="689" t="s">
        <v>211</v>
      </c>
      <c r="B6" s="685">
        <v>8.0</v>
      </c>
      <c r="C6" s="685">
        <v>5.0</v>
      </c>
      <c r="D6" s="686">
        <v>0.0</v>
      </c>
      <c r="F6" s="687">
        <v>4.0</v>
      </c>
      <c r="G6" s="689" t="s">
        <v>235</v>
      </c>
      <c r="H6" s="690" t="s">
        <v>30</v>
      </c>
      <c r="J6" s="687">
        <v>4.0</v>
      </c>
      <c r="K6" s="689" t="s">
        <v>307</v>
      </c>
      <c r="L6" s="690" t="s">
        <v>42</v>
      </c>
    </row>
    <row r="7" ht="12.75" customHeight="1">
      <c r="A7" s="689" t="s">
        <v>143</v>
      </c>
      <c r="B7" s="691">
        <v>7.0</v>
      </c>
      <c r="C7" s="691">
        <v>6.0</v>
      </c>
      <c r="D7" s="686">
        <v>0.0</v>
      </c>
      <c r="F7" s="687">
        <v>5.0</v>
      </c>
      <c r="G7" s="689" t="s">
        <v>209</v>
      </c>
      <c r="H7" s="690" t="s">
        <v>38</v>
      </c>
      <c r="J7" s="687">
        <v>5.0</v>
      </c>
      <c r="K7" s="689" t="s">
        <v>237</v>
      </c>
      <c r="L7" s="690" t="s">
        <v>34</v>
      </c>
    </row>
    <row r="8" ht="12.75" customHeight="1">
      <c r="A8" s="692" t="s">
        <v>235</v>
      </c>
      <c r="B8" s="693">
        <v>7.0</v>
      </c>
      <c r="C8" s="693">
        <v>6.0</v>
      </c>
      <c r="D8" s="694">
        <v>0.0</v>
      </c>
      <c r="F8" s="695">
        <v>6.0</v>
      </c>
      <c r="G8" s="692" t="s">
        <v>211</v>
      </c>
      <c r="H8" s="696" t="s">
        <v>31</v>
      </c>
      <c r="J8" s="687">
        <v>6.0</v>
      </c>
      <c r="K8" s="689" t="s">
        <v>149</v>
      </c>
      <c r="L8" s="690" t="s">
        <v>36</v>
      </c>
    </row>
    <row r="9" ht="12.75" customHeight="1">
      <c r="A9" s="684" t="s">
        <v>151</v>
      </c>
      <c r="B9" s="691">
        <v>6.0</v>
      </c>
      <c r="C9" s="691">
        <v>7.0</v>
      </c>
      <c r="D9" s="697">
        <v>0.0</v>
      </c>
      <c r="F9" s="698">
        <v>7.0</v>
      </c>
      <c r="G9" s="684" t="s">
        <v>308</v>
      </c>
      <c r="H9" s="688" t="s">
        <v>248</v>
      </c>
      <c r="J9" s="687">
        <v>7.0</v>
      </c>
      <c r="K9" s="689" t="s">
        <v>209</v>
      </c>
      <c r="L9" s="690" t="s">
        <v>38</v>
      </c>
    </row>
    <row r="10" ht="12.75" customHeight="1">
      <c r="A10" s="689" t="s">
        <v>149</v>
      </c>
      <c r="B10" s="685">
        <v>6.0</v>
      </c>
      <c r="C10" s="685">
        <v>7.0</v>
      </c>
      <c r="D10" s="686">
        <v>0.0</v>
      </c>
      <c r="F10" s="687">
        <v>8.0</v>
      </c>
      <c r="G10" s="689" t="s">
        <v>151</v>
      </c>
      <c r="H10" s="690" t="s">
        <v>116</v>
      </c>
      <c r="J10" s="687">
        <v>8.0</v>
      </c>
      <c r="K10" s="689" t="s">
        <v>211</v>
      </c>
      <c r="L10" s="690" t="s">
        <v>31</v>
      </c>
    </row>
    <row r="11" ht="12.75" customHeight="1">
      <c r="A11" s="689" t="s">
        <v>307</v>
      </c>
      <c r="B11" s="685">
        <v>5.0</v>
      </c>
      <c r="C11" s="685">
        <v>8.0</v>
      </c>
      <c r="D11" s="686">
        <v>0.0</v>
      </c>
      <c r="F11" s="687">
        <v>9.0</v>
      </c>
      <c r="G11" s="689" t="s">
        <v>306</v>
      </c>
      <c r="H11" s="690" t="s">
        <v>43</v>
      </c>
      <c r="J11" s="687">
        <v>9.0</v>
      </c>
      <c r="K11" s="689" t="s">
        <v>235</v>
      </c>
      <c r="L11" s="690" t="s">
        <v>30</v>
      </c>
    </row>
    <row r="12" ht="12.75" customHeight="1">
      <c r="A12" s="689" t="s">
        <v>306</v>
      </c>
      <c r="B12" s="685">
        <v>5.0</v>
      </c>
      <c r="C12" s="685">
        <v>8.0</v>
      </c>
      <c r="D12" s="686">
        <v>0.0</v>
      </c>
      <c r="F12" s="687">
        <v>10.0</v>
      </c>
      <c r="G12" s="689" t="s">
        <v>307</v>
      </c>
      <c r="H12" s="690" t="s">
        <v>42</v>
      </c>
      <c r="J12" s="687">
        <v>10.0</v>
      </c>
      <c r="K12" s="689" t="s">
        <v>184</v>
      </c>
      <c r="L12" s="690" t="s">
        <v>35</v>
      </c>
    </row>
    <row r="13" ht="12.75" customHeight="1">
      <c r="A13" s="689" t="s">
        <v>308</v>
      </c>
      <c r="B13" s="685">
        <v>3.0</v>
      </c>
      <c r="C13" s="685">
        <v>10.0</v>
      </c>
      <c r="D13" s="686">
        <v>0.0</v>
      </c>
      <c r="F13" s="687">
        <v>11.0</v>
      </c>
      <c r="G13" s="689" t="s">
        <v>237</v>
      </c>
      <c r="H13" s="690" t="s">
        <v>34</v>
      </c>
      <c r="J13" s="687">
        <v>11.0</v>
      </c>
      <c r="K13" s="684" t="s">
        <v>143</v>
      </c>
      <c r="L13" s="690" t="s">
        <v>39</v>
      </c>
    </row>
    <row r="14" ht="12.75" customHeight="1">
      <c r="A14" s="692" t="s">
        <v>237</v>
      </c>
      <c r="B14" s="693">
        <v>3.0</v>
      </c>
      <c r="C14" s="693">
        <v>10.0</v>
      </c>
      <c r="D14" s="694">
        <v>0.0</v>
      </c>
      <c r="F14" s="695">
        <v>12.0</v>
      </c>
      <c r="G14" s="692" t="s">
        <v>149</v>
      </c>
      <c r="H14" s="696" t="s">
        <v>36</v>
      </c>
      <c r="J14" s="695">
        <v>12.0</v>
      </c>
      <c r="K14" s="692" t="s">
        <v>187</v>
      </c>
      <c r="L14" s="696" t="s">
        <v>37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10.88"/>
    <col customWidth="1" min="2" max="2" width="7.0"/>
    <col customWidth="1" min="3" max="3" width="8.38"/>
    <col customWidth="1" min="4" max="4" width="6.0"/>
    <col customWidth="1" min="5" max="6" width="7.0"/>
    <col customWidth="1" min="7" max="7" width="10.88"/>
    <col customWidth="1" min="8" max="12" width="7.0"/>
    <col customWidth="1" min="13" max="26" width="11.0"/>
  </cols>
  <sheetData>
    <row r="1" ht="12.75" customHeight="1">
      <c r="A1" s="364" t="s">
        <v>272</v>
      </c>
      <c r="C1" s="364"/>
      <c r="D1" s="364"/>
      <c r="F1" s="364" t="s">
        <v>273</v>
      </c>
      <c r="G1" s="364"/>
      <c r="J1" s="364" t="s">
        <v>274</v>
      </c>
    </row>
    <row r="2" ht="12.75" customHeight="1">
      <c r="A2" s="448" t="s">
        <v>277</v>
      </c>
      <c r="B2" s="449" t="s">
        <v>125</v>
      </c>
      <c r="C2" s="449" t="s">
        <v>126</v>
      </c>
      <c r="D2" s="641" t="s">
        <v>127</v>
      </c>
      <c r="F2" s="448" t="s">
        <v>276</v>
      </c>
      <c r="G2" s="449" t="s">
        <v>277</v>
      </c>
      <c r="H2" s="641" t="s">
        <v>275</v>
      </c>
      <c r="J2" s="448" t="s">
        <v>276</v>
      </c>
      <c r="K2" s="449" t="s">
        <v>277</v>
      </c>
      <c r="L2" s="641" t="s">
        <v>275</v>
      </c>
    </row>
    <row r="3" ht="12.75" customHeight="1">
      <c r="A3" s="679" t="s">
        <v>209</v>
      </c>
      <c r="B3" s="680">
        <v>11.0</v>
      </c>
      <c r="C3" s="680">
        <v>2.0</v>
      </c>
      <c r="D3" s="681">
        <v>0.0</v>
      </c>
      <c r="F3" s="682">
        <v>1.0</v>
      </c>
      <c r="G3" s="679" t="s">
        <v>209</v>
      </c>
      <c r="H3" s="683" t="s">
        <v>38</v>
      </c>
      <c r="J3" s="682">
        <v>1.0</v>
      </c>
      <c r="K3" s="679" t="s">
        <v>309</v>
      </c>
      <c r="L3" s="683" t="s">
        <v>47</v>
      </c>
    </row>
    <row r="4" ht="12.75" customHeight="1">
      <c r="A4" s="684" t="s">
        <v>143</v>
      </c>
      <c r="B4" s="685">
        <v>10.0</v>
      </c>
      <c r="C4" s="685">
        <v>3.0</v>
      </c>
      <c r="D4" s="686">
        <v>0.0</v>
      </c>
      <c r="F4" s="687">
        <v>2.0</v>
      </c>
      <c r="G4" s="684" t="s">
        <v>257</v>
      </c>
      <c r="H4" s="688" t="s">
        <v>30</v>
      </c>
      <c r="J4" s="687">
        <v>2.0</v>
      </c>
      <c r="K4" s="689" t="s">
        <v>259</v>
      </c>
      <c r="L4" s="690" t="s">
        <v>42</v>
      </c>
    </row>
    <row r="5" ht="12.75" customHeight="1">
      <c r="A5" s="689" t="s">
        <v>149</v>
      </c>
      <c r="B5" s="685">
        <v>9.0</v>
      </c>
      <c r="C5" s="685">
        <v>4.0</v>
      </c>
      <c r="D5" s="686">
        <v>0.0</v>
      </c>
      <c r="F5" s="687">
        <v>3.0</v>
      </c>
      <c r="G5" s="689" t="s">
        <v>310</v>
      </c>
      <c r="H5" s="690" t="s">
        <v>43</v>
      </c>
      <c r="J5" s="687">
        <v>3.0</v>
      </c>
      <c r="K5" s="689" t="s">
        <v>187</v>
      </c>
      <c r="L5" s="690" t="s">
        <v>37</v>
      </c>
    </row>
    <row r="6" ht="12.75" customHeight="1">
      <c r="A6" s="689" t="s">
        <v>237</v>
      </c>
      <c r="B6" s="685">
        <v>8.0</v>
      </c>
      <c r="C6" s="685">
        <v>5.0</v>
      </c>
      <c r="D6" s="686">
        <v>0.0</v>
      </c>
      <c r="F6" s="687">
        <v>4.0</v>
      </c>
      <c r="G6" s="689" t="s">
        <v>143</v>
      </c>
      <c r="H6" s="690" t="s">
        <v>39</v>
      </c>
      <c r="J6" s="687">
        <v>4.0</v>
      </c>
      <c r="K6" s="689" t="s">
        <v>184</v>
      </c>
      <c r="L6" s="690" t="s">
        <v>35</v>
      </c>
    </row>
    <row r="7" ht="12.75" customHeight="1">
      <c r="A7" s="684" t="s">
        <v>310</v>
      </c>
      <c r="B7" s="691">
        <v>8.0</v>
      </c>
      <c r="C7" s="691">
        <v>5.0</v>
      </c>
      <c r="D7" s="686">
        <v>0.0</v>
      </c>
      <c r="F7" s="687">
        <v>5.0</v>
      </c>
      <c r="G7" s="689" t="s">
        <v>237</v>
      </c>
      <c r="H7" s="690" t="s">
        <v>34</v>
      </c>
      <c r="J7" s="687">
        <v>5.0</v>
      </c>
      <c r="K7" s="689" t="s">
        <v>211</v>
      </c>
      <c r="L7" s="690" t="s">
        <v>31</v>
      </c>
    </row>
    <row r="8" ht="12.75" customHeight="1">
      <c r="A8" s="692" t="s">
        <v>257</v>
      </c>
      <c r="B8" s="693">
        <v>7.0</v>
      </c>
      <c r="C8" s="693">
        <v>6.0</v>
      </c>
      <c r="D8" s="694">
        <v>0.0</v>
      </c>
      <c r="F8" s="695">
        <v>6.0</v>
      </c>
      <c r="G8" s="692" t="s">
        <v>149</v>
      </c>
      <c r="H8" s="696" t="s">
        <v>36</v>
      </c>
      <c r="J8" s="687">
        <v>6.0</v>
      </c>
      <c r="K8" s="689" t="s">
        <v>151</v>
      </c>
      <c r="L8" s="690" t="s">
        <v>116</v>
      </c>
    </row>
    <row r="9" ht="12.75" customHeight="1">
      <c r="A9" s="684" t="s">
        <v>234</v>
      </c>
      <c r="B9" s="691">
        <v>5.0</v>
      </c>
      <c r="C9" s="691">
        <v>8.0</v>
      </c>
      <c r="D9" s="697">
        <v>0.0</v>
      </c>
      <c r="F9" s="698">
        <v>7.0</v>
      </c>
      <c r="G9" s="684" t="s">
        <v>309</v>
      </c>
      <c r="H9" s="688" t="s">
        <v>47</v>
      </c>
      <c r="J9" s="687">
        <v>7.0</v>
      </c>
      <c r="K9" s="689" t="s">
        <v>149</v>
      </c>
      <c r="L9" s="690" t="s">
        <v>36</v>
      </c>
    </row>
    <row r="10" ht="12.75" customHeight="1">
      <c r="A10" s="689" t="s">
        <v>187</v>
      </c>
      <c r="B10" s="685">
        <v>5.0</v>
      </c>
      <c r="C10" s="685">
        <v>8.0</v>
      </c>
      <c r="D10" s="686">
        <v>0.0</v>
      </c>
      <c r="F10" s="687">
        <v>8.0</v>
      </c>
      <c r="G10" s="689" t="s">
        <v>259</v>
      </c>
      <c r="H10" s="690" t="s">
        <v>42</v>
      </c>
      <c r="J10" s="687">
        <v>8.0</v>
      </c>
      <c r="K10" s="689" t="s">
        <v>237</v>
      </c>
      <c r="L10" s="690" t="s">
        <v>34</v>
      </c>
    </row>
    <row r="11" ht="12.75" customHeight="1">
      <c r="A11" s="689" t="s">
        <v>309</v>
      </c>
      <c r="B11" s="685">
        <v>4.0</v>
      </c>
      <c r="C11" s="685">
        <v>9.0</v>
      </c>
      <c r="D11" s="686">
        <v>0.0</v>
      </c>
      <c r="F11" s="687">
        <v>9.0</v>
      </c>
      <c r="G11" s="689" t="s">
        <v>187</v>
      </c>
      <c r="H11" s="690" t="s">
        <v>37</v>
      </c>
      <c r="J11" s="687">
        <v>9.0</v>
      </c>
      <c r="K11" s="689" t="s">
        <v>143</v>
      </c>
      <c r="L11" s="690" t="s">
        <v>39</v>
      </c>
    </row>
    <row r="12" ht="12.75" customHeight="1">
      <c r="A12" s="689" t="s">
        <v>151</v>
      </c>
      <c r="B12" s="685">
        <v>4.0</v>
      </c>
      <c r="C12" s="685">
        <v>9.0</v>
      </c>
      <c r="D12" s="686">
        <v>0.0</v>
      </c>
      <c r="F12" s="687">
        <v>10.0</v>
      </c>
      <c r="G12" s="689" t="s">
        <v>184</v>
      </c>
      <c r="H12" s="690" t="s">
        <v>35</v>
      </c>
      <c r="J12" s="687">
        <v>10.0</v>
      </c>
      <c r="K12" s="689" t="s">
        <v>310</v>
      </c>
      <c r="L12" s="690" t="s">
        <v>43</v>
      </c>
    </row>
    <row r="13" ht="12.75" customHeight="1">
      <c r="A13" s="689" t="s">
        <v>184</v>
      </c>
      <c r="B13" s="685">
        <v>4.0</v>
      </c>
      <c r="C13" s="685">
        <v>9.0</v>
      </c>
      <c r="D13" s="686">
        <v>0.0</v>
      </c>
      <c r="F13" s="687">
        <v>11.0</v>
      </c>
      <c r="G13" s="689" t="s">
        <v>234</v>
      </c>
      <c r="H13" s="690" t="s">
        <v>31</v>
      </c>
      <c r="J13" s="687">
        <v>11.0</v>
      </c>
      <c r="K13" s="689" t="s">
        <v>209</v>
      </c>
      <c r="L13" s="690" t="s">
        <v>30</v>
      </c>
    </row>
    <row r="14" ht="12.75" customHeight="1">
      <c r="A14" s="692" t="s">
        <v>259</v>
      </c>
      <c r="B14" s="693">
        <v>3.0</v>
      </c>
      <c r="C14" s="693">
        <v>10.0</v>
      </c>
      <c r="D14" s="694">
        <v>0.0</v>
      </c>
      <c r="F14" s="695">
        <v>12.0</v>
      </c>
      <c r="G14" s="692" t="s">
        <v>151</v>
      </c>
      <c r="H14" s="696" t="s">
        <v>116</v>
      </c>
      <c r="J14" s="695">
        <v>12.0</v>
      </c>
      <c r="K14" s="692" t="s">
        <v>209</v>
      </c>
      <c r="L14" s="696" t="s">
        <v>38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10.88"/>
    <col customWidth="1" min="2" max="2" width="7.0"/>
    <col customWidth="1" min="3" max="3" width="8.38"/>
    <col customWidth="1" min="4" max="4" width="6.0"/>
    <col customWidth="1" min="5" max="6" width="7.0"/>
    <col customWidth="1" min="7" max="7" width="10.88"/>
    <col customWidth="1" min="8" max="12" width="7.0"/>
    <col customWidth="1" min="13" max="26" width="11.0"/>
  </cols>
  <sheetData>
    <row r="1" ht="12.75" customHeight="1">
      <c r="A1" s="364" t="s">
        <v>272</v>
      </c>
      <c r="C1" s="364"/>
      <c r="D1" s="364"/>
      <c r="F1" s="364" t="s">
        <v>273</v>
      </c>
      <c r="G1" s="364"/>
      <c r="J1" s="364" t="s">
        <v>274</v>
      </c>
    </row>
    <row r="2" ht="12.75" customHeight="1">
      <c r="A2" s="448" t="s">
        <v>277</v>
      </c>
      <c r="B2" s="449" t="s">
        <v>125</v>
      </c>
      <c r="C2" s="449" t="s">
        <v>126</v>
      </c>
      <c r="D2" s="641" t="s">
        <v>127</v>
      </c>
      <c r="F2" s="448" t="s">
        <v>276</v>
      </c>
      <c r="G2" s="449" t="s">
        <v>277</v>
      </c>
      <c r="H2" s="641" t="s">
        <v>275</v>
      </c>
      <c r="J2" s="448" t="s">
        <v>276</v>
      </c>
      <c r="K2" s="449" t="s">
        <v>277</v>
      </c>
      <c r="L2" s="641" t="s">
        <v>275</v>
      </c>
    </row>
    <row r="3" ht="12.75" customHeight="1">
      <c r="A3" s="679" t="s">
        <v>311</v>
      </c>
      <c r="B3" s="680">
        <v>11.0</v>
      </c>
      <c r="C3" s="680">
        <v>2.0</v>
      </c>
      <c r="D3" s="681">
        <v>0.0</v>
      </c>
      <c r="F3" s="682">
        <v>1.0</v>
      </c>
      <c r="G3" s="679" t="s">
        <v>311</v>
      </c>
      <c r="H3" s="683" t="s">
        <v>30</v>
      </c>
      <c r="J3" s="682">
        <v>1.0</v>
      </c>
      <c r="K3" s="679" t="s">
        <v>184</v>
      </c>
      <c r="L3" s="683" t="s">
        <v>35</v>
      </c>
    </row>
    <row r="4" ht="12.75" customHeight="1">
      <c r="A4" s="684" t="s">
        <v>209</v>
      </c>
      <c r="B4" s="685">
        <v>8.0</v>
      </c>
      <c r="C4" s="685">
        <v>5.0</v>
      </c>
      <c r="D4" s="686">
        <v>0.0</v>
      </c>
      <c r="F4" s="687">
        <v>2.0</v>
      </c>
      <c r="G4" s="684" t="s">
        <v>209</v>
      </c>
      <c r="H4" s="688" t="s">
        <v>38</v>
      </c>
      <c r="J4" s="687">
        <v>2.0</v>
      </c>
      <c r="K4" s="689" t="s">
        <v>263</v>
      </c>
      <c r="L4" s="690" t="s">
        <v>42</v>
      </c>
    </row>
    <row r="5" ht="12.75" customHeight="1">
      <c r="A5" s="689" t="s">
        <v>237</v>
      </c>
      <c r="B5" s="685">
        <v>8.0</v>
      </c>
      <c r="C5" s="685">
        <v>5.0</v>
      </c>
      <c r="D5" s="686">
        <v>0.0</v>
      </c>
      <c r="F5" s="687">
        <v>3.0</v>
      </c>
      <c r="G5" s="689" t="s">
        <v>143</v>
      </c>
      <c r="H5" s="690" t="s">
        <v>39</v>
      </c>
      <c r="J5" s="687">
        <v>3.0</v>
      </c>
      <c r="K5" s="689" t="s">
        <v>265</v>
      </c>
      <c r="L5" s="690" t="s">
        <v>43</v>
      </c>
    </row>
    <row r="6" ht="12.75" customHeight="1">
      <c r="A6" s="689" t="s">
        <v>151</v>
      </c>
      <c r="B6" s="685">
        <v>8.0</v>
      </c>
      <c r="C6" s="685">
        <v>5.0</v>
      </c>
      <c r="D6" s="686">
        <v>0.0</v>
      </c>
      <c r="F6" s="687">
        <v>4.0</v>
      </c>
      <c r="G6" s="689" t="s">
        <v>149</v>
      </c>
      <c r="H6" s="690" t="s">
        <v>36</v>
      </c>
      <c r="J6" s="687">
        <v>4.0</v>
      </c>
      <c r="K6" s="689" t="s">
        <v>187</v>
      </c>
      <c r="L6" s="690" t="s">
        <v>37</v>
      </c>
    </row>
    <row r="7" ht="12.75" customHeight="1">
      <c r="A7" s="684" t="s">
        <v>143</v>
      </c>
      <c r="B7" s="691">
        <v>7.0</v>
      </c>
      <c r="C7" s="691">
        <v>6.0</v>
      </c>
      <c r="D7" s="686">
        <v>0.0</v>
      </c>
      <c r="F7" s="687">
        <v>5.0</v>
      </c>
      <c r="G7" s="689" t="s">
        <v>237</v>
      </c>
      <c r="H7" s="690" t="s">
        <v>34</v>
      </c>
      <c r="J7" s="687">
        <v>5.0</v>
      </c>
      <c r="K7" s="689" t="s">
        <v>312</v>
      </c>
      <c r="L7" s="690" t="s">
        <v>47</v>
      </c>
    </row>
    <row r="8" ht="12.75" customHeight="1">
      <c r="A8" s="692" t="s">
        <v>149</v>
      </c>
      <c r="B8" s="693">
        <v>6.0</v>
      </c>
      <c r="C8" s="693">
        <v>7.0</v>
      </c>
      <c r="D8" s="694">
        <v>0.0</v>
      </c>
      <c r="F8" s="695">
        <v>6.0</v>
      </c>
      <c r="G8" s="692" t="s">
        <v>151</v>
      </c>
      <c r="H8" s="696" t="s">
        <v>116</v>
      </c>
      <c r="J8" s="687">
        <v>6.0</v>
      </c>
      <c r="K8" s="689" t="s">
        <v>211</v>
      </c>
      <c r="L8" s="690" t="s">
        <v>31</v>
      </c>
    </row>
    <row r="9" ht="12.75" customHeight="1">
      <c r="A9" s="684" t="s">
        <v>184</v>
      </c>
      <c r="B9" s="691">
        <v>6.0</v>
      </c>
      <c r="C9" s="691">
        <v>7.0</v>
      </c>
      <c r="D9" s="697">
        <v>0.0</v>
      </c>
      <c r="F9" s="698">
        <v>7.0</v>
      </c>
      <c r="G9" s="684" t="s">
        <v>184</v>
      </c>
      <c r="H9" s="688" t="s">
        <v>35</v>
      </c>
      <c r="J9" s="687">
        <v>7.0</v>
      </c>
      <c r="K9" s="689" t="s">
        <v>151</v>
      </c>
      <c r="L9" s="690" t="s">
        <v>116</v>
      </c>
    </row>
    <row r="10" ht="12.75" customHeight="1">
      <c r="A10" s="689" t="s">
        <v>187</v>
      </c>
      <c r="B10" s="685">
        <v>6.0</v>
      </c>
      <c r="C10" s="685">
        <v>7.0</v>
      </c>
      <c r="D10" s="686">
        <v>0.0</v>
      </c>
      <c r="F10" s="687">
        <v>8.0</v>
      </c>
      <c r="G10" s="689" t="s">
        <v>263</v>
      </c>
      <c r="H10" s="690" t="s">
        <v>42</v>
      </c>
      <c r="J10" s="687">
        <v>8.0</v>
      </c>
      <c r="K10" s="689" t="s">
        <v>237</v>
      </c>
      <c r="L10" s="690" t="s">
        <v>34</v>
      </c>
    </row>
    <row r="11" ht="12.75" customHeight="1">
      <c r="A11" s="689" t="s">
        <v>234</v>
      </c>
      <c r="B11" s="685">
        <v>6.0</v>
      </c>
      <c r="C11" s="685">
        <v>7.0</v>
      </c>
      <c r="D11" s="686">
        <v>0.0</v>
      </c>
      <c r="F11" s="687">
        <v>9.0</v>
      </c>
      <c r="G11" s="689" t="s">
        <v>265</v>
      </c>
      <c r="H11" s="690" t="s">
        <v>43</v>
      </c>
      <c r="J11" s="687">
        <v>9.0</v>
      </c>
      <c r="K11" s="689" t="s">
        <v>149</v>
      </c>
      <c r="L11" s="690" t="s">
        <v>36</v>
      </c>
    </row>
    <row r="12" ht="12.75" customHeight="1">
      <c r="A12" s="689" t="s">
        <v>263</v>
      </c>
      <c r="B12" s="685">
        <v>5.0</v>
      </c>
      <c r="C12" s="685">
        <v>8.0</v>
      </c>
      <c r="D12" s="686">
        <v>0.0</v>
      </c>
      <c r="F12" s="687">
        <v>10.0</v>
      </c>
      <c r="G12" s="689" t="s">
        <v>187</v>
      </c>
      <c r="H12" s="690" t="s">
        <v>37</v>
      </c>
      <c r="J12" s="687">
        <v>10.0</v>
      </c>
      <c r="K12" s="689" t="s">
        <v>143</v>
      </c>
      <c r="L12" s="690" t="s">
        <v>39</v>
      </c>
    </row>
    <row r="13" ht="12.75" customHeight="1">
      <c r="A13" s="689" t="s">
        <v>309</v>
      </c>
      <c r="B13" s="685">
        <v>4.0</v>
      </c>
      <c r="C13" s="685">
        <v>9.0</v>
      </c>
      <c r="D13" s="686">
        <v>0.0</v>
      </c>
      <c r="F13" s="687">
        <v>11.0</v>
      </c>
      <c r="G13" s="689" t="s">
        <v>309</v>
      </c>
      <c r="H13" s="690" t="s">
        <v>47</v>
      </c>
      <c r="J13" s="687">
        <v>11.0</v>
      </c>
      <c r="K13" s="689" t="s">
        <v>209</v>
      </c>
      <c r="L13" s="690" t="s">
        <v>38</v>
      </c>
    </row>
    <row r="14" ht="12.75" customHeight="1">
      <c r="A14" s="692" t="s">
        <v>234</v>
      </c>
      <c r="B14" s="693">
        <v>3.0</v>
      </c>
      <c r="C14" s="693">
        <v>10.0</v>
      </c>
      <c r="D14" s="694">
        <v>0.0</v>
      </c>
      <c r="F14" s="695">
        <v>12.0</v>
      </c>
      <c r="G14" s="692" t="s">
        <v>234</v>
      </c>
      <c r="H14" s="696" t="s">
        <v>31</v>
      </c>
      <c r="J14" s="695">
        <v>12.0</v>
      </c>
      <c r="K14" s="692" t="s">
        <v>261</v>
      </c>
      <c r="L14" s="696" t="s">
        <v>30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10.88"/>
    <col customWidth="1" min="2" max="2" width="7.0"/>
    <col customWidth="1" min="3" max="3" width="8.38"/>
    <col customWidth="1" min="4" max="4" width="6.0"/>
    <col customWidth="1" min="5" max="6" width="7.0"/>
    <col customWidth="1" min="7" max="7" width="10.88"/>
    <col customWidth="1" min="8" max="12" width="7.0"/>
    <col customWidth="1" min="13" max="26" width="11.0"/>
  </cols>
  <sheetData>
    <row r="1" ht="13.5" customHeight="1">
      <c r="A1" s="364" t="s">
        <v>272</v>
      </c>
      <c r="C1" s="364"/>
      <c r="D1" s="364"/>
      <c r="F1" s="364" t="s">
        <v>273</v>
      </c>
      <c r="G1" s="364"/>
      <c r="J1" s="364" t="s">
        <v>274</v>
      </c>
    </row>
    <row r="2" ht="26.25" customHeight="1">
      <c r="A2" s="448" t="s">
        <v>277</v>
      </c>
      <c r="B2" s="449" t="s">
        <v>125</v>
      </c>
      <c r="C2" s="449" t="s">
        <v>126</v>
      </c>
      <c r="D2" s="641" t="s">
        <v>127</v>
      </c>
      <c r="F2" s="448" t="s">
        <v>276</v>
      </c>
      <c r="G2" s="449" t="s">
        <v>277</v>
      </c>
      <c r="H2" s="641" t="s">
        <v>275</v>
      </c>
      <c r="J2" s="448" t="s">
        <v>276</v>
      </c>
      <c r="K2" s="449" t="s">
        <v>277</v>
      </c>
      <c r="L2" s="641" t="s">
        <v>275</v>
      </c>
    </row>
    <row r="3" ht="38.25" customHeight="1">
      <c r="A3" s="689" t="s">
        <v>143</v>
      </c>
      <c r="B3" s="680">
        <v>9.0</v>
      </c>
      <c r="C3" s="680">
        <v>4.0</v>
      </c>
      <c r="D3" s="681">
        <v>0.0</v>
      </c>
      <c r="F3" s="682">
        <v>1.0</v>
      </c>
      <c r="G3" s="679" t="s">
        <v>143</v>
      </c>
      <c r="H3" s="683" t="s">
        <v>39</v>
      </c>
      <c r="J3" s="682">
        <v>1.0</v>
      </c>
      <c r="K3" s="679" t="s">
        <v>151</v>
      </c>
      <c r="L3" s="683" t="s">
        <v>116</v>
      </c>
    </row>
    <row r="4" ht="25.5" customHeight="1">
      <c r="A4" s="689" t="s">
        <v>267</v>
      </c>
      <c r="B4" s="685">
        <v>9.0</v>
      </c>
      <c r="C4" s="685">
        <v>4.0</v>
      </c>
      <c r="D4" s="686">
        <v>0.0</v>
      </c>
      <c r="F4" s="687">
        <v>2.0</v>
      </c>
      <c r="G4" s="684" t="s">
        <v>267</v>
      </c>
      <c r="H4" s="688" t="s">
        <v>42</v>
      </c>
      <c r="J4" s="687">
        <v>2.0</v>
      </c>
      <c r="K4" s="689" t="s">
        <v>149</v>
      </c>
      <c r="L4" s="690" t="s">
        <v>36</v>
      </c>
    </row>
    <row r="5" ht="25.5" customHeight="1">
      <c r="A5" s="689" t="s">
        <v>313</v>
      </c>
      <c r="B5" s="685">
        <v>9.0</v>
      </c>
      <c r="C5" s="685">
        <v>4.0</v>
      </c>
      <c r="D5" s="686">
        <v>0.0</v>
      </c>
      <c r="F5" s="687">
        <v>3.0</v>
      </c>
      <c r="G5" s="689" t="s">
        <v>313</v>
      </c>
      <c r="H5" s="690" t="s">
        <v>43</v>
      </c>
      <c r="J5" s="687">
        <v>3.0</v>
      </c>
      <c r="K5" s="689" t="s">
        <v>209</v>
      </c>
      <c r="L5" s="690" t="s">
        <v>38</v>
      </c>
    </row>
    <row r="6" ht="38.25" customHeight="1">
      <c r="A6" s="689" t="s">
        <v>211</v>
      </c>
      <c r="B6" s="685">
        <v>9.0</v>
      </c>
      <c r="C6" s="685">
        <v>4.0</v>
      </c>
      <c r="D6" s="686">
        <v>0.0</v>
      </c>
      <c r="F6" s="687">
        <v>4.0</v>
      </c>
      <c r="G6" s="689" t="s">
        <v>211</v>
      </c>
      <c r="H6" s="690" t="s">
        <v>31</v>
      </c>
      <c r="J6" s="687">
        <v>4.0</v>
      </c>
      <c r="K6" s="689" t="s">
        <v>314</v>
      </c>
      <c r="L6" s="690" t="s">
        <v>262</v>
      </c>
    </row>
    <row r="7" ht="38.25" customHeight="1">
      <c r="A7" s="689" t="s">
        <v>311</v>
      </c>
      <c r="B7" s="685">
        <v>8.0</v>
      </c>
      <c r="C7" s="685">
        <v>5.0</v>
      </c>
      <c r="D7" s="686">
        <v>0.0</v>
      </c>
      <c r="F7" s="687">
        <v>5.0</v>
      </c>
      <c r="G7" s="689" t="s">
        <v>311</v>
      </c>
      <c r="H7" s="690" t="s">
        <v>30</v>
      </c>
      <c r="J7" s="687">
        <v>5.0</v>
      </c>
      <c r="K7" s="689" t="s">
        <v>271</v>
      </c>
      <c r="L7" s="690" t="s">
        <v>35</v>
      </c>
    </row>
    <row r="8" ht="39.0" customHeight="1">
      <c r="A8" s="692" t="s">
        <v>270</v>
      </c>
      <c r="B8" s="693">
        <v>8.0</v>
      </c>
      <c r="C8" s="693">
        <v>5.0</v>
      </c>
      <c r="D8" s="694">
        <v>0.0</v>
      </c>
      <c r="F8" s="695">
        <v>6.0</v>
      </c>
      <c r="G8" s="692" t="s">
        <v>270</v>
      </c>
      <c r="H8" s="696" t="s">
        <v>34</v>
      </c>
      <c r="J8" s="687">
        <v>6.0</v>
      </c>
      <c r="K8" s="689" t="s">
        <v>187</v>
      </c>
      <c r="L8" s="690" t="s">
        <v>37</v>
      </c>
    </row>
    <row r="9" ht="38.25" customHeight="1">
      <c r="A9" s="684" t="s">
        <v>151</v>
      </c>
      <c r="B9" s="691">
        <v>7.0</v>
      </c>
      <c r="C9" s="691">
        <v>6.0</v>
      </c>
      <c r="D9" s="697">
        <v>0.0</v>
      </c>
      <c r="F9" s="698">
        <v>7.0</v>
      </c>
      <c r="G9" s="684" t="s">
        <v>151</v>
      </c>
      <c r="H9" s="688" t="s">
        <v>116</v>
      </c>
      <c r="J9" s="687">
        <v>7.0</v>
      </c>
      <c r="K9" s="689" t="s">
        <v>270</v>
      </c>
      <c r="L9" s="690" t="s">
        <v>34</v>
      </c>
    </row>
    <row r="10" ht="38.25" customHeight="1">
      <c r="A10" s="689" t="s">
        <v>149</v>
      </c>
      <c r="B10" s="685">
        <v>6.0</v>
      </c>
      <c r="C10" s="685">
        <v>7.0</v>
      </c>
      <c r="D10" s="686">
        <v>0.0</v>
      </c>
      <c r="F10" s="687">
        <v>8.0</v>
      </c>
      <c r="G10" s="689" t="s">
        <v>149</v>
      </c>
      <c r="H10" s="690" t="s">
        <v>36</v>
      </c>
      <c r="J10" s="687">
        <v>8.0</v>
      </c>
      <c r="K10" s="689" t="s">
        <v>311</v>
      </c>
      <c r="L10" s="690" t="s">
        <v>30</v>
      </c>
    </row>
    <row r="11" ht="25.5" customHeight="1">
      <c r="A11" s="689" t="s">
        <v>209</v>
      </c>
      <c r="B11" s="685">
        <v>6.0</v>
      </c>
      <c r="C11" s="685">
        <v>7.0</v>
      </c>
      <c r="D11" s="686">
        <v>0.0</v>
      </c>
      <c r="F11" s="687">
        <v>9.0</v>
      </c>
      <c r="G11" s="689" t="s">
        <v>209</v>
      </c>
      <c r="H11" s="690" t="s">
        <v>38</v>
      </c>
      <c r="J11" s="687">
        <v>9.0</v>
      </c>
      <c r="K11" s="689" t="s">
        <v>211</v>
      </c>
      <c r="L11" s="690" t="s">
        <v>31</v>
      </c>
    </row>
    <row r="12" ht="38.25" customHeight="1">
      <c r="A12" s="689" t="s">
        <v>314</v>
      </c>
      <c r="B12" s="685">
        <v>1.0</v>
      </c>
      <c r="C12" s="685">
        <v>12.0</v>
      </c>
      <c r="D12" s="686">
        <v>0.0</v>
      </c>
      <c r="F12" s="687">
        <v>10.0</v>
      </c>
      <c r="G12" s="689" t="s">
        <v>314</v>
      </c>
      <c r="H12" s="690" t="s">
        <v>262</v>
      </c>
      <c r="J12" s="687">
        <v>10.0</v>
      </c>
      <c r="K12" s="689" t="s">
        <v>313</v>
      </c>
      <c r="L12" s="690" t="s">
        <v>43</v>
      </c>
    </row>
    <row r="13" ht="38.25" customHeight="1">
      <c r="A13" s="689" t="s">
        <v>271</v>
      </c>
      <c r="B13" s="685">
        <v>4.0</v>
      </c>
      <c r="C13" s="685">
        <v>9.0</v>
      </c>
      <c r="D13" s="686">
        <v>0.0</v>
      </c>
      <c r="F13" s="687">
        <v>11.0</v>
      </c>
      <c r="G13" s="689" t="s">
        <v>271</v>
      </c>
      <c r="H13" s="690" t="s">
        <v>35</v>
      </c>
      <c r="J13" s="687">
        <v>11.0</v>
      </c>
      <c r="K13" s="689" t="s">
        <v>267</v>
      </c>
      <c r="L13" s="690" t="s">
        <v>42</v>
      </c>
    </row>
    <row r="14" ht="26.25" customHeight="1">
      <c r="A14" s="692" t="s">
        <v>187</v>
      </c>
      <c r="B14" s="693">
        <v>3.0</v>
      </c>
      <c r="C14" s="693">
        <v>10.0</v>
      </c>
      <c r="D14" s="694">
        <v>0.0</v>
      </c>
      <c r="F14" s="695">
        <v>12.0</v>
      </c>
      <c r="G14" s="692" t="s">
        <v>187</v>
      </c>
      <c r="H14" s="696" t="s">
        <v>37</v>
      </c>
      <c r="J14" s="695">
        <v>12.0</v>
      </c>
      <c r="K14" s="692" t="s">
        <v>143</v>
      </c>
      <c r="L14" s="696" t="s">
        <v>39</v>
      </c>
    </row>
    <row r="15" ht="12.75" customHeight="1">
      <c r="A15" s="364"/>
      <c r="C15" s="364"/>
      <c r="D15" s="364"/>
      <c r="G15" s="364"/>
    </row>
    <row r="16" ht="12.75" customHeight="1">
      <c r="A16" s="364"/>
      <c r="C16" s="364"/>
      <c r="D16" s="364"/>
      <c r="G16" s="364"/>
    </row>
    <row r="17" ht="12.75" customHeight="1">
      <c r="A17" s="364"/>
      <c r="C17" s="364"/>
      <c r="D17" s="364"/>
      <c r="G17" s="364"/>
    </row>
    <row r="18" ht="12.75" customHeight="1">
      <c r="A18" s="364"/>
      <c r="C18" s="364"/>
      <c r="D18" s="364"/>
      <c r="G18" s="364"/>
    </row>
    <row r="19" ht="12.75" customHeight="1">
      <c r="A19" s="364"/>
      <c r="C19" s="364"/>
      <c r="D19" s="364"/>
      <c r="G19" s="364"/>
    </row>
    <row r="20" ht="12.75" customHeight="1">
      <c r="A20" s="364"/>
      <c r="C20" s="364"/>
      <c r="D20" s="364"/>
      <c r="G20" s="364"/>
    </row>
    <row r="21" ht="12.75" customHeight="1">
      <c r="A21" s="364"/>
      <c r="C21" s="364"/>
      <c r="D21" s="364"/>
      <c r="G21" s="364"/>
    </row>
    <row r="22" ht="12.75" customHeight="1">
      <c r="A22" s="364"/>
      <c r="C22" s="364"/>
      <c r="D22" s="364"/>
      <c r="G22" s="364"/>
    </row>
    <row r="23" ht="12.75" customHeight="1">
      <c r="A23" s="364"/>
      <c r="C23" s="364"/>
      <c r="D23" s="364"/>
      <c r="G23" s="364"/>
    </row>
    <row r="24" ht="12.75" customHeight="1">
      <c r="A24" s="364"/>
      <c r="C24" s="364"/>
      <c r="D24" s="364"/>
      <c r="G24" s="364"/>
    </row>
    <row r="25" ht="12.75" customHeight="1">
      <c r="A25" s="364"/>
      <c r="C25" s="364"/>
      <c r="D25" s="364"/>
      <c r="G25" s="364"/>
    </row>
    <row r="26" ht="12.75" customHeight="1">
      <c r="A26" s="364"/>
      <c r="C26" s="364"/>
      <c r="D26" s="364"/>
      <c r="G26" s="364"/>
    </row>
    <row r="27" ht="12.75" customHeight="1">
      <c r="A27" s="364"/>
      <c r="C27" s="364"/>
      <c r="D27" s="364"/>
      <c r="G27" s="364"/>
    </row>
    <row r="28" ht="12.75" customHeight="1">
      <c r="A28" s="364"/>
      <c r="C28" s="364"/>
      <c r="D28" s="364"/>
      <c r="G28" s="364"/>
    </row>
    <row r="29" ht="12.75" customHeight="1">
      <c r="A29" s="364"/>
      <c r="C29" s="364"/>
      <c r="D29" s="364"/>
      <c r="G29" s="364"/>
    </row>
    <row r="30" ht="12.75" customHeight="1">
      <c r="A30" s="364"/>
      <c r="C30" s="364"/>
      <c r="D30" s="364"/>
      <c r="G30" s="364"/>
    </row>
    <row r="31" ht="12.75" customHeight="1">
      <c r="A31" s="364"/>
      <c r="C31" s="364"/>
      <c r="D31" s="364"/>
      <c r="G31" s="364"/>
    </row>
    <row r="32" ht="12.75" customHeight="1">
      <c r="A32" s="364"/>
      <c r="C32" s="364"/>
      <c r="D32" s="364"/>
      <c r="G32" s="364"/>
    </row>
    <row r="33" ht="12.75" customHeight="1">
      <c r="A33" s="364"/>
      <c r="C33" s="364"/>
      <c r="D33" s="364"/>
      <c r="G33" s="364"/>
    </row>
    <row r="34" ht="12.75" customHeight="1">
      <c r="A34" s="364"/>
      <c r="C34" s="364"/>
      <c r="D34" s="364"/>
      <c r="G34" s="364"/>
    </row>
    <row r="35" ht="12.75" customHeight="1">
      <c r="A35" s="364"/>
      <c r="C35" s="364"/>
      <c r="D35" s="364"/>
      <c r="G35" s="364"/>
    </row>
    <row r="36" ht="12.75" customHeight="1">
      <c r="A36" s="364"/>
      <c r="C36" s="364"/>
      <c r="D36" s="364"/>
      <c r="G36" s="364"/>
    </row>
    <row r="37" ht="12.75" customHeight="1">
      <c r="A37" s="364"/>
      <c r="C37" s="364"/>
      <c r="D37" s="364"/>
      <c r="G37" s="364"/>
    </row>
    <row r="38" ht="12.75" customHeight="1">
      <c r="A38" s="364"/>
      <c r="C38" s="364"/>
      <c r="D38" s="364"/>
      <c r="G38" s="364"/>
    </row>
    <row r="39" ht="12.75" customHeight="1">
      <c r="A39" s="364"/>
      <c r="C39" s="364"/>
      <c r="D39" s="364"/>
      <c r="G39" s="364"/>
    </row>
    <row r="40" ht="12.75" customHeight="1">
      <c r="A40" s="364"/>
      <c r="C40" s="364"/>
      <c r="D40" s="364"/>
      <c r="G40" s="364"/>
    </row>
    <row r="41" ht="12.75" customHeight="1">
      <c r="A41" s="364"/>
      <c r="C41" s="364"/>
      <c r="D41" s="364"/>
      <c r="G41" s="364"/>
    </row>
    <row r="42" ht="12.75" customHeight="1">
      <c r="A42" s="364"/>
      <c r="C42" s="364"/>
      <c r="D42" s="364"/>
      <c r="G42" s="364"/>
    </row>
    <row r="43" ht="12.75" customHeight="1">
      <c r="A43" s="364"/>
      <c r="C43" s="364"/>
      <c r="D43" s="364"/>
      <c r="G43" s="364"/>
    </row>
    <row r="44" ht="12.75" customHeight="1">
      <c r="A44" s="364"/>
      <c r="C44" s="364"/>
      <c r="D44" s="364"/>
      <c r="G44" s="364"/>
    </row>
    <row r="45" ht="12.75" customHeight="1">
      <c r="A45" s="364"/>
      <c r="C45" s="364"/>
      <c r="D45" s="364"/>
      <c r="G45" s="364"/>
    </row>
    <row r="46" ht="12.75" customHeight="1">
      <c r="A46" s="364"/>
      <c r="C46" s="364"/>
      <c r="D46" s="364"/>
      <c r="G46" s="364"/>
    </row>
    <row r="47" ht="12.75" customHeight="1">
      <c r="A47" s="364"/>
      <c r="C47" s="364"/>
      <c r="D47" s="364"/>
      <c r="G47" s="364"/>
    </row>
    <row r="48" ht="12.75" customHeight="1">
      <c r="A48" s="364"/>
      <c r="C48" s="364"/>
      <c r="D48" s="364"/>
      <c r="G48" s="364"/>
    </row>
    <row r="49" ht="12.75" customHeight="1">
      <c r="A49" s="364"/>
      <c r="C49" s="364"/>
      <c r="D49" s="364"/>
      <c r="G49" s="364"/>
    </row>
    <row r="50" ht="12.75" customHeight="1">
      <c r="A50" s="364"/>
      <c r="C50" s="364"/>
      <c r="D50" s="364"/>
      <c r="G50" s="364"/>
    </row>
    <row r="51" ht="12.75" customHeight="1">
      <c r="A51" s="364"/>
      <c r="C51" s="364"/>
      <c r="D51" s="364"/>
      <c r="G51" s="364"/>
    </row>
    <row r="52" ht="12.75" customHeight="1">
      <c r="A52" s="364"/>
      <c r="C52" s="364"/>
      <c r="D52" s="364"/>
      <c r="G52" s="364"/>
    </row>
    <row r="53" ht="12.75" customHeight="1">
      <c r="A53" s="364"/>
      <c r="C53" s="364"/>
      <c r="D53" s="364"/>
      <c r="G53" s="364"/>
    </row>
    <row r="54" ht="12.75" customHeight="1">
      <c r="A54" s="364"/>
      <c r="C54" s="364"/>
      <c r="D54" s="364"/>
      <c r="G54" s="364"/>
    </row>
    <row r="55" ht="12.75" customHeight="1">
      <c r="A55" s="364"/>
      <c r="C55" s="364"/>
      <c r="D55" s="364"/>
      <c r="G55" s="364"/>
    </row>
    <row r="56" ht="12.75" customHeight="1">
      <c r="A56" s="364"/>
      <c r="C56" s="364"/>
      <c r="D56" s="364"/>
      <c r="G56" s="364"/>
    </row>
    <row r="57" ht="12.75" customHeight="1">
      <c r="A57" s="364"/>
      <c r="C57" s="364"/>
      <c r="D57" s="364"/>
      <c r="G57" s="364"/>
    </row>
    <row r="58" ht="12.75" customHeight="1">
      <c r="A58" s="364"/>
      <c r="C58" s="364"/>
      <c r="D58" s="364"/>
      <c r="G58" s="364"/>
    </row>
    <row r="59" ht="12.75" customHeight="1">
      <c r="A59" s="364"/>
      <c r="C59" s="364"/>
      <c r="D59" s="364"/>
      <c r="G59" s="364"/>
    </row>
    <row r="60" ht="12.75" customHeight="1">
      <c r="A60" s="364"/>
      <c r="C60" s="364"/>
      <c r="D60" s="364"/>
      <c r="G60" s="364"/>
    </row>
    <row r="61" ht="12.75" customHeight="1">
      <c r="A61" s="364"/>
      <c r="C61" s="364"/>
      <c r="D61" s="364"/>
      <c r="G61" s="364"/>
    </row>
    <row r="62" ht="12.75" customHeight="1">
      <c r="A62" s="364"/>
      <c r="C62" s="364"/>
      <c r="D62" s="364"/>
      <c r="G62" s="364"/>
    </row>
    <row r="63" ht="12.75" customHeight="1">
      <c r="A63" s="364"/>
      <c r="C63" s="364"/>
      <c r="D63" s="364"/>
      <c r="G63" s="364"/>
    </row>
    <row r="64" ht="12.75" customHeight="1">
      <c r="A64" s="364"/>
      <c r="C64" s="364"/>
      <c r="D64" s="364"/>
      <c r="G64" s="364"/>
    </row>
    <row r="65" ht="12.75" customHeight="1">
      <c r="A65" s="364"/>
      <c r="C65" s="364"/>
      <c r="D65" s="364"/>
      <c r="G65" s="364"/>
    </row>
    <row r="66" ht="12.75" customHeight="1">
      <c r="A66" s="364"/>
      <c r="C66" s="364"/>
      <c r="D66" s="364"/>
      <c r="G66" s="364"/>
    </row>
    <row r="67" ht="12.75" customHeight="1">
      <c r="A67" s="364"/>
      <c r="C67" s="364"/>
      <c r="D67" s="364"/>
      <c r="G67" s="364"/>
    </row>
    <row r="68" ht="12.75" customHeight="1">
      <c r="A68" s="364"/>
      <c r="C68" s="364"/>
      <c r="D68" s="364"/>
      <c r="G68" s="364"/>
    </row>
    <row r="69" ht="12.75" customHeight="1">
      <c r="A69" s="364"/>
      <c r="C69" s="364"/>
      <c r="D69" s="364"/>
      <c r="G69" s="364"/>
    </row>
    <row r="70" ht="12.75" customHeight="1">
      <c r="A70" s="364"/>
      <c r="C70" s="364"/>
      <c r="D70" s="364"/>
      <c r="G70" s="364"/>
    </row>
    <row r="71" ht="12.75" customHeight="1">
      <c r="A71" s="364"/>
      <c r="C71" s="364"/>
      <c r="D71" s="364"/>
      <c r="G71" s="364"/>
    </row>
    <row r="72" ht="12.75" customHeight="1">
      <c r="A72" s="364"/>
      <c r="C72" s="364"/>
      <c r="D72" s="364"/>
      <c r="G72" s="364"/>
    </row>
    <row r="73" ht="12.75" customHeight="1">
      <c r="A73" s="364"/>
      <c r="C73" s="364"/>
      <c r="D73" s="364"/>
      <c r="G73" s="364"/>
    </row>
    <row r="74" ht="12.75" customHeight="1">
      <c r="A74" s="364"/>
      <c r="C74" s="364"/>
      <c r="D74" s="364"/>
      <c r="G74" s="364"/>
    </row>
    <row r="75" ht="12.75" customHeight="1">
      <c r="A75" s="364"/>
      <c r="C75" s="364"/>
      <c r="D75" s="364"/>
      <c r="G75" s="364"/>
    </row>
    <row r="76" ht="12.75" customHeight="1">
      <c r="A76" s="364"/>
      <c r="C76" s="364"/>
      <c r="D76" s="364"/>
      <c r="G76" s="364"/>
    </row>
    <row r="77" ht="12.75" customHeight="1">
      <c r="A77" s="364"/>
      <c r="C77" s="364"/>
      <c r="D77" s="364"/>
      <c r="G77" s="364"/>
    </row>
    <row r="78" ht="12.75" customHeight="1">
      <c r="A78" s="364"/>
      <c r="C78" s="364"/>
      <c r="D78" s="364"/>
      <c r="G78" s="364"/>
    </row>
    <row r="79" ht="12.75" customHeight="1">
      <c r="A79" s="364"/>
      <c r="C79" s="364"/>
      <c r="D79" s="364"/>
      <c r="G79" s="364"/>
    </row>
    <row r="80" ht="12.75" customHeight="1">
      <c r="A80" s="364"/>
      <c r="C80" s="364"/>
      <c r="D80" s="364"/>
      <c r="G80" s="364"/>
    </row>
    <row r="81" ht="12.75" customHeight="1">
      <c r="A81" s="364"/>
      <c r="C81" s="364"/>
      <c r="D81" s="364"/>
      <c r="G81" s="364"/>
    </row>
    <row r="82" ht="12.75" customHeight="1">
      <c r="A82" s="364"/>
      <c r="C82" s="364"/>
      <c r="D82" s="364"/>
      <c r="G82" s="364"/>
    </row>
    <row r="83" ht="12.75" customHeight="1">
      <c r="A83" s="364"/>
      <c r="C83" s="364"/>
      <c r="D83" s="364"/>
      <c r="G83" s="364"/>
    </row>
    <row r="84" ht="12.75" customHeight="1">
      <c r="A84" s="364"/>
      <c r="C84" s="364"/>
      <c r="D84" s="364"/>
      <c r="G84" s="364"/>
    </row>
    <row r="85" ht="12.75" customHeight="1">
      <c r="A85" s="364"/>
      <c r="C85" s="364"/>
      <c r="D85" s="364"/>
      <c r="G85" s="364"/>
    </row>
    <row r="86" ht="12.75" customHeight="1">
      <c r="A86" s="364"/>
      <c r="C86" s="364"/>
      <c r="D86" s="364"/>
      <c r="G86" s="364"/>
    </row>
    <row r="87" ht="12.75" customHeight="1">
      <c r="A87" s="364"/>
      <c r="C87" s="364"/>
      <c r="D87" s="364"/>
      <c r="G87" s="364"/>
    </row>
    <row r="88" ht="12.75" customHeight="1">
      <c r="A88" s="364"/>
      <c r="C88" s="364"/>
      <c r="D88" s="364"/>
      <c r="G88" s="364"/>
    </row>
    <row r="89" ht="12.75" customHeight="1">
      <c r="A89" s="364"/>
      <c r="C89" s="364"/>
      <c r="D89" s="364"/>
      <c r="G89" s="364"/>
    </row>
    <row r="90" ht="12.75" customHeight="1">
      <c r="A90" s="364"/>
      <c r="C90" s="364"/>
      <c r="D90" s="364"/>
      <c r="G90" s="364"/>
    </row>
    <row r="91" ht="12.75" customHeight="1">
      <c r="A91" s="364"/>
      <c r="C91" s="364"/>
      <c r="D91" s="364"/>
      <c r="G91" s="364"/>
    </row>
    <row r="92" ht="12.75" customHeight="1">
      <c r="A92" s="364"/>
      <c r="C92" s="364"/>
      <c r="D92" s="364"/>
      <c r="G92" s="364"/>
    </row>
    <row r="93" ht="12.75" customHeight="1">
      <c r="A93" s="364"/>
      <c r="C93" s="364"/>
      <c r="D93" s="364"/>
      <c r="G93" s="364"/>
    </row>
    <row r="94" ht="12.75" customHeight="1">
      <c r="A94" s="364"/>
      <c r="C94" s="364"/>
      <c r="D94" s="364"/>
      <c r="G94" s="364"/>
    </row>
    <row r="95" ht="12.75" customHeight="1">
      <c r="A95" s="364"/>
      <c r="C95" s="364"/>
      <c r="D95" s="364"/>
      <c r="G95" s="364"/>
    </row>
    <row r="96" ht="12.75" customHeight="1">
      <c r="A96" s="364"/>
      <c r="C96" s="364"/>
      <c r="D96" s="364"/>
      <c r="G96" s="364"/>
    </row>
    <row r="97" ht="12.75" customHeight="1">
      <c r="A97" s="364"/>
      <c r="C97" s="364"/>
      <c r="D97" s="364"/>
      <c r="G97" s="364"/>
    </row>
    <row r="98" ht="12.75" customHeight="1">
      <c r="A98" s="364"/>
      <c r="C98" s="364"/>
      <c r="D98" s="364"/>
      <c r="G98" s="364"/>
    </row>
    <row r="99" ht="12.75" customHeight="1">
      <c r="A99" s="364"/>
      <c r="C99" s="364"/>
      <c r="D99" s="364"/>
      <c r="G99" s="364"/>
    </row>
    <row r="100" ht="12.75" customHeight="1">
      <c r="A100" s="364"/>
      <c r="C100" s="364"/>
      <c r="D100" s="364"/>
      <c r="G100" s="364"/>
    </row>
    <row r="101" ht="12.75" customHeight="1">
      <c r="A101" s="364"/>
      <c r="C101" s="364"/>
      <c r="D101" s="364"/>
      <c r="G101" s="364"/>
    </row>
    <row r="102" ht="12.75" customHeight="1">
      <c r="A102" s="364"/>
      <c r="C102" s="364"/>
      <c r="D102" s="364"/>
      <c r="G102" s="364"/>
    </row>
    <row r="103" ht="12.75" customHeight="1">
      <c r="A103" s="364"/>
      <c r="C103" s="364"/>
      <c r="D103" s="364"/>
      <c r="G103" s="364"/>
    </row>
    <row r="104" ht="12.75" customHeight="1">
      <c r="A104" s="364"/>
      <c r="C104" s="364"/>
      <c r="D104" s="364"/>
      <c r="G104" s="364"/>
    </row>
    <row r="105" ht="12.75" customHeight="1">
      <c r="A105" s="364"/>
      <c r="C105" s="364"/>
      <c r="D105" s="364"/>
      <c r="G105" s="364"/>
    </row>
    <row r="106" ht="12.75" customHeight="1">
      <c r="A106" s="364"/>
      <c r="C106" s="364"/>
      <c r="D106" s="364"/>
      <c r="G106" s="364"/>
    </row>
    <row r="107" ht="12.75" customHeight="1">
      <c r="A107" s="364"/>
      <c r="C107" s="364"/>
      <c r="D107" s="364"/>
      <c r="G107" s="364"/>
    </row>
    <row r="108" ht="12.75" customHeight="1">
      <c r="A108" s="364"/>
      <c r="C108" s="364"/>
      <c r="D108" s="364"/>
      <c r="G108" s="364"/>
    </row>
    <row r="109" ht="12.75" customHeight="1">
      <c r="A109" s="364"/>
      <c r="C109" s="364"/>
      <c r="D109" s="364"/>
      <c r="G109" s="364"/>
    </row>
    <row r="110" ht="12.75" customHeight="1">
      <c r="A110" s="364"/>
      <c r="C110" s="364"/>
      <c r="D110" s="364"/>
      <c r="G110" s="364"/>
    </row>
    <row r="111" ht="12.75" customHeight="1">
      <c r="A111" s="364"/>
      <c r="C111" s="364"/>
      <c r="D111" s="364"/>
      <c r="G111" s="364"/>
    </row>
    <row r="112" ht="12.75" customHeight="1">
      <c r="A112" s="364"/>
      <c r="C112" s="364"/>
      <c r="D112" s="364"/>
      <c r="G112" s="364"/>
    </row>
    <row r="113" ht="12.75" customHeight="1">
      <c r="A113" s="364"/>
      <c r="C113" s="364"/>
      <c r="D113" s="364"/>
      <c r="G113" s="364"/>
    </row>
    <row r="114" ht="12.75" customHeight="1">
      <c r="A114" s="364"/>
      <c r="C114" s="364"/>
      <c r="D114" s="364"/>
      <c r="G114" s="364"/>
    </row>
    <row r="115" ht="12.75" customHeight="1">
      <c r="A115" s="364"/>
      <c r="C115" s="364"/>
      <c r="D115" s="364"/>
      <c r="G115" s="364"/>
    </row>
    <row r="116" ht="12.75" customHeight="1">
      <c r="A116" s="364"/>
      <c r="C116" s="364"/>
      <c r="D116" s="364"/>
      <c r="G116" s="364"/>
    </row>
    <row r="117" ht="12.75" customHeight="1">
      <c r="A117" s="364"/>
      <c r="C117" s="364"/>
      <c r="D117" s="364"/>
      <c r="G117" s="364"/>
    </row>
    <row r="118" ht="12.75" customHeight="1">
      <c r="A118" s="364"/>
      <c r="C118" s="364"/>
      <c r="D118" s="364"/>
      <c r="G118" s="364"/>
    </row>
    <row r="119" ht="12.75" customHeight="1">
      <c r="A119" s="364"/>
      <c r="C119" s="364"/>
      <c r="D119" s="364"/>
      <c r="G119" s="364"/>
    </row>
    <row r="120" ht="12.75" customHeight="1">
      <c r="A120" s="364"/>
      <c r="C120" s="364"/>
      <c r="D120" s="364"/>
      <c r="G120" s="364"/>
    </row>
    <row r="121" ht="12.75" customHeight="1">
      <c r="A121" s="364"/>
      <c r="C121" s="364"/>
      <c r="D121" s="364"/>
      <c r="G121" s="364"/>
    </row>
    <row r="122" ht="12.75" customHeight="1">
      <c r="A122" s="364"/>
      <c r="C122" s="364"/>
      <c r="D122" s="364"/>
      <c r="G122" s="364"/>
    </row>
    <row r="123" ht="12.75" customHeight="1">
      <c r="A123" s="364"/>
      <c r="C123" s="364"/>
      <c r="D123" s="364"/>
      <c r="G123" s="364"/>
    </row>
    <row r="124" ht="12.75" customHeight="1">
      <c r="A124" s="364"/>
      <c r="C124" s="364"/>
      <c r="D124" s="364"/>
      <c r="G124" s="364"/>
    </row>
    <row r="125" ht="12.75" customHeight="1">
      <c r="A125" s="364"/>
      <c r="C125" s="364"/>
      <c r="D125" s="364"/>
      <c r="G125" s="364"/>
    </row>
    <row r="126" ht="12.75" customHeight="1">
      <c r="A126" s="364"/>
      <c r="C126" s="364"/>
      <c r="D126" s="364"/>
      <c r="G126" s="364"/>
    </row>
    <row r="127" ht="12.75" customHeight="1">
      <c r="A127" s="364"/>
      <c r="C127" s="364"/>
      <c r="D127" s="364"/>
      <c r="G127" s="364"/>
    </row>
    <row r="128" ht="12.75" customHeight="1">
      <c r="A128" s="364"/>
      <c r="C128" s="364"/>
      <c r="D128" s="364"/>
      <c r="G128" s="364"/>
    </row>
    <row r="129" ht="12.75" customHeight="1">
      <c r="A129" s="364"/>
      <c r="C129" s="364"/>
      <c r="D129" s="364"/>
      <c r="G129" s="364"/>
    </row>
    <row r="130" ht="12.75" customHeight="1">
      <c r="A130" s="364"/>
      <c r="C130" s="364"/>
      <c r="D130" s="364"/>
      <c r="G130" s="364"/>
    </row>
    <row r="131" ht="12.75" customHeight="1">
      <c r="A131" s="364"/>
      <c r="C131" s="364"/>
      <c r="D131" s="364"/>
      <c r="G131" s="364"/>
    </row>
    <row r="132" ht="12.75" customHeight="1">
      <c r="A132" s="364"/>
      <c r="C132" s="364"/>
      <c r="D132" s="364"/>
      <c r="G132" s="364"/>
    </row>
    <row r="133" ht="12.75" customHeight="1">
      <c r="A133" s="364"/>
      <c r="C133" s="364"/>
      <c r="D133" s="364"/>
      <c r="G133" s="364"/>
    </row>
    <row r="134" ht="12.75" customHeight="1">
      <c r="A134" s="364"/>
      <c r="C134" s="364"/>
      <c r="D134" s="364"/>
      <c r="G134" s="364"/>
    </row>
    <row r="135" ht="12.75" customHeight="1">
      <c r="A135" s="364"/>
      <c r="C135" s="364"/>
      <c r="D135" s="364"/>
      <c r="G135" s="364"/>
    </row>
    <row r="136" ht="12.75" customHeight="1">
      <c r="A136" s="364"/>
      <c r="C136" s="364"/>
      <c r="D136" s="364"/>
      <c r="G136" s="364"/>
    </row>
    <row r="137" ht="12.75" customHeight="1">
      <c r="A137" s="364"/>
      <c r="C137" s="364"/>
      <c r="D137" s="364"/>
      <c r="G137" s="364"/>
    </row>
    <row r="138" ht="12.75" customHeight="1">
      <c r="A138" s="364"/>
      <c r="C138" s="364"/>
      <c r="D138" s="364"/>
      <c r="G138" s="364"/>
    </row>
    <row r="139" ht="12.75" customHeight="1">
      <c r="A139" s="364"/>
      <c r="C139" s="364"/>
      <c r="D139" s="364"/>
      <c r="G139" s="364"/>
    </row>
    <row r="140" ht="12.75" customHeight="1">
      <c r="A140" s="364"/>
      <c r="C140" s="364"/>
      <c r="D140" s="364"/>
      <c r="G140" s="364"/>
    </row>
    <row r="141" ht="12.75" customHeight="1">
      <c r="A141" s="364"/>
      <c r="C141" s="364"/>
      <c r="D141" s="364"/>
      <c r="G141" s="364"/>
    </row>
    <row r="142" ht="12.75" customHeight="1">
      <c r="A142" s="364"/>
      <c r="C142" s="364"/>
      <c r="D142" s="364"/>
      <c r="G142" s="364"/>
    </row>
    <row r="143" ht="12.75" customHeight="1">
      <c r="A143" s="364"/>
      <c r="C143" s="364"/>
      <c r="D143" s="364"/>
      <c r="G143" s="364"/>
    </row>
    <row r="144" ht="12.75" customHeight="1">
      <c r="A144" s="364"/>
      <c r="C144" s="364"/>
      <c r="D144" s="364"/>
      <c r="G144" s="364"/>
    </row>
    <row r="145" ht="12.75" customHeight="1">
      <c r="A145" s="364"/>
      <c r="C145" s="364"/>
      <c r="D145" s="364"/>
      <c r="G145" s="364"/>
    </row>
    <row r="146" ht="12.75" customHeight="1">
      <c r="A146" s="364"/>
      <c r="C146" s="364"/>
      <c r="D146" s="364"/>
      <c r="G146" s="364"/>
    </row>
    <row r="147" ht="12.75" customHeight="1">
      <c r="A147" s="364"/>
      <c r="C147" s="364"/>
      <c r="D147" s="364"/>
      <c r="G147" s="364"/>
    </row>
    <row r="148" ht="12.75" customHeight="1">
      <c r="A148" s="364"/>
      <c r="C148" s="364"/>
      <c r="D148" s="364"/>
      <c r="G148" s="364"/>
    </row>
    <row r="149" ht="12.75" customHeight="1">
      <c r="A149" s="364"/>
      <c r="C149" s="364"/>
      <c r="D149" s="364"/>
      <c r="G149" s="364"/>
    </row>
    <row r="150" ht="12.75" customHeight="1">
      <c r="A150" s="364"/>
      <c r="C150" s="364"/>
      <c r="D150" s="364"/>
      <c r="G150" s="364"/>
    </row>
    <row r="151" ht="12.75" customHeight="1">
      <c r="A151" s="364"/>
      <c r="C151" s="364"/>
      <c r="D151" s="364"/>
      <c r="G151" s="364"/>
    </row>
    <row r="152" ht="12.75" customHeight="1">
      <c r="A152" s="364"/>
      <c r="C152" s="364"/>
      <c r="D152" s="364"/>
      <c r="G152" s="364"/>
    </row>
    <row r="153" ht="12.75" customHeight="1">
      <c r="A153" s="364"/>
      <c r="C153" s="364"/>
      <c r="D153" s="364"/>
      <c r="G153" s="364"/>
    </row>
    <row r="154" ht="12.75" customHeight="1">
      <c r="A154" s="364"/>
      <c r="C154" s="364"/>
      <c r="D154" s="364"/>
      <c r="G154" s="364"/>
    </row>
    <row r="155" ht="12.75" customHeight="1">
      <c r="A155" s="364"/>
      <c r="C155" s="364"/>
      <c r="D155" s="364"/>
      <c r="G155" s="364"/>
    </row>
    <row r="156" ht="12.75" customHeight="1">
      <c r="A156" s="364"/>
      <c r="C156" s="364"/>
      <c r="D156" s="364"/>
      <c r="G156" s="364"/>
    </row>
    <row r="157" ht="12.75" customHeight="1">
      <c r="A157" s="364"/>
      <c r="C157" s="364"/>
      <c r="D157" s="364"/>
      <c r="G157" s="364"/>
    </row>
    <row r="158" ht="12.75" customHeight="1">
      <c r="A158" s="364"/>
      <c r="C158" s="364"/>
      <c r="D158" s="364"/>
      <c r="G158" s="364"/>
    </row>
    <row r="159" ht="12.75" customHeight="1">
      <c r="A159" s="364"/>
      <c r="C159" s="364"/>
      <c r="D159" s="364"/>
      <c r="G159" s="364"/>
    </row>
    <row r="160" ht="12.75" customHeight="1">
      <c r="A160" s="364"/>
      <c r="C160" s="364"/>
      <c r="D160" s="364"/>
      <c r="G160" s="364"/>
    </row>
    <row r="161" ht="12.75" customHeight="1">
      <c r="A161" s="364"/>
      <c r="C161" s="364"/>
      <c r="D161" s="364"/>
      <c r="G161" s="364"/>
    </row>
    <row r="162" ht="12.75" customHeight="1">
      <c r="A162" s="364"/>
      <c r="C162" s="364"/>
      <c r="D162" s="364"/>
      <c r="G162" s="364"/>
    </row>
    <row r="163" ht="12.75" customHeight="1">
      <c r="A163" s="364"/>
      <c r="C163" s="364"/>
      <c r="D163" s="364"/>
      <c r="G163" s="364"/>
    </row>
    <row r="164" ht="12.75" customHeight="1">
      <c r="A164" s="364"/>
      <c r="C164" s="364"/>
      <c r="D164" s="364"/>
      <c r="G164" s="364"/>
    </row>
    <row r="165" ht="12.75" customHeight="1">
      <c r="A165" s="364"/>
      <c r="C165" s="364"/>
      <c r="D165" s="364"/>
      <c r="G165" s="364"/>
    </row>
    <row r="166" ht="12.75" customHeight="1">
      <c r="A166" s="364"/>
      <c r="C166" s="364"/>
      <c r="D166" s="364"/>
      <c r="G166" s="364"/>
    </row>
    <row r="167" ht="12.75" customHeight="1">
      <c r="A167" s="364"/>
      <c r="C167" s="364"/>
      <c r="D167" s="364"/>
      <c r="G167" s="364"/>
    </row>
    <row r="168" ht="12.75" customHeight="1">
      <c r="A168" s="364"/>
      <c r="C168" s="364"/>
      <c r="D168" s="364"/>
      <c r="G168" s="364"/>
    </row>
    <row r="169" ht="12.75" customHeight="1">
      <c r="A169" s="364"/>
      <c r="C169" s="364"/>
      <c r="D169" s="364"/>
      <c r="G169" s="364"/>
    </row>
    <row r="170" ht="12.75" customHeight="1">
      <c r="A170" s="364"/>
      <c r="C170" s="364"/>
      <c r="D170" s="364"/>
      <c r="G170" s="364"/>
    </row>
    <row r="171" ht="12.75" customHeight="1">
      <c r="A171" s="364"/>
      <c r="C171" s="364"/>
      <c r="D171" s="364"/>
      <c r="G171" s="364"/>
    </row>
    <row r="172" ht="12.75" customHeight="1">
      <c r="A172" s="364"/>
      <c r="C172" s="364"/>
      <c r="D172" s="364"/>
      <c r="G172" s="364"/>
    </row>
    <row r="173" ht="12.75" customHeight="1">
      <c r="A173" s="364"/>
      <c r="C173" s="364"/>
      <c r="D173" s="364"/>
      <c r="G173" s="364"/>
    </row>
    <row r="174" ht="12.75" customHeight="1">
      <c r="A174" s="364"/>
      <c r="C174" s="364"/>
      <c r="D174" s="364"/>
      <c r="G174" s="364"/>
    </row>
    <row r="175" ht="12.75" customHeight="1">
      <c r="A175" s="364"/>
      <c r="C175" s="364"/>
      <c r="D175" s="364"/>
      <c r="G175" s="364"/>
    </row>
    <row r="176" ht="12.75" customHeight="1">
      <c r="A176" s="364"/>
      <c r="C176" s="364"/>
      <c r="D176" s="364"/>
      <c r="G176" s="364"/>
    </row>
    <row r="177" ht="12.75" customHeight="1">
      <c r="A177" s="364"/>
      <c r="C177" s="364"/>
      <c r="D177" s="364"/>
      <c r="G177" s="364"/>
    </row>
    <row r="178" ht="12.75" customHeight="1">
      <c r="A178" s="364"/>
      <c r="C178" s="364"/>
      <c r="D178" s="364"/>
      <c r="G178" s="364"/>
    </row>
    <row r="179" ht="12.75" customHeight="1">
      <c r="A179" s="364"/>
      <c r="C179" s="364"/>
      <c r="D179" s="364"/>
      <c r="G179" s="364"/>
    </row>
    <row r="180" ht="12.75" customHeight="1">
      <c r="A180" s="364"/>
      <c r="C180" s="364"/>
      <c r="D180" s="364"/>
      <c r="G180" s="364"/>
    </row>
    <row r="181" ht="12.75" customHeight="1">
      <c r="A181" s="364"/>
      <c r="C181" s="364"/>
      <c r="D181" s="364"/>
      <c r="G181" s="364"/>
    </row>
    <row r="182" ht="12.75" customHeight="1">
      <c r="A182" s="364"/>
      <c r="C182" s="364"/>
      <c r="D182" s="364"/>
      <c r="G182" s="364"/>
    </row>
    <row r="183" ht="12.75" customHeight="1">
      <c r="A183" s="364"/>
      <c r="C183" s="364"/>
      <c r="D183" s="364"/>
      <c r="G183" s="364"/>
    </row>
    <row r="184" ht="12.75" customHeight="1">
      <c r="A184" s="364"/>
      <c r="C184" s="364"/>
      <c r="D184" s="364"/>
      <c r="G184" s="364"/>
    </row>
    <row r="185" ht="12.75" customHeight="1">
      <c r="A185" s="364"/>
      <c r="C185" s="364"/>
      <c r="D185" s="364"/>
      <c r="G185" s="364"/>
    </row>
    <row r="186" ht="12.75" customHeight="1">
      <c r="A186" s="364"/>
      <c r="C186" s="364"/>
      <c r="D186" s="364"/>
      <c r="G186" s="364"/>
    </row>
    <row r="187" ht="12.75" customHeight="1">
      <c r="A187" s="364"/>
      <c r="C187" s="364"/>
      <c r="D187" s="364"/>
      <c r="G187" s="364"/>
    </row>
    <row r="188" ht="12.75" customHeight="1">
      <c r="A188" s="364"/>
      <c r="C188" s="364"/>
      <c r="D188" s="364"/>
      <c r="G188" s="364"/>
    </row>
    <row r="189" ht="12.75" customHeight="1">
      <c r="A189" s="364"/>
      <c r="C189" s="364"/>
      <c r="D189" s="364"/>
      <c r="G189" s="364"/>
    </row>
    <row r="190" ht="12.75" customHeight="1">
      <c r="A190" s="364"/>
      <c r="C190" s="364"/>
      <c r="D190" s="364"/>
      <c r="G190" s="364"/>
    </row>
    <row r="191" ht="12.75" customHeight="1">
      <c r="A191" s="364"/>
      <c r="C191" s="364"/>
      <c r="D191" s="364"/>
      <c r="G191" s="364"/>
    </row>
    <row r="192" ht="12.75" customHeight="1">
      <c r="A192" s="364"/>
      <c r="C192" s="364"/>
      <c r="D192" s="364"/>
      <c r="G192" s="364"/>
    </row>
    <row r="193" ht="12.75" customHeight="1">
      <c r="A193" s="364"/>
      <c r="C193" s="364"/>
      <c r="D193" s="364"/>
      <c r="G193" s="364"/>
    </row>
    <row r="194" ht="12.75" customHeight="1">
      <c r="A194" s="364"/>
      <c r="C194" s="364"/>
      <c r="D194" s="364"/>
      <c r="G194" s="364"/>
    </row>
    <row r="195" ht="12.75" customHeight="1">
      <c r="A195" s="364"/>
      <c r="C195" s="364"/>
      <c r="D195" s="364"/>
      <c r="G195" s="364"/>
    </row>
    <row r="196" ht="12.75" customHeight="1">
      <c r="A196" s="364"/>
      <c r="C196" s="364"/>
      <c r="D196" s="364"/>
      <c r="G196" s="364"/>
    </row>
    <row r="197" ht="12.75" customHeight="1">
      <c r="A197" s="364"/>
      <c r="C197" s="364"/>
      <c r="D197" s="364"/>
      <c r="G197" s="364"/>
    </row>
    <row r="198" ht="12.75" customHeight="1">
      <c r="A198" s="364"/>
      <c r="C198" s="364"/>
      <c r="D198" s="364"/>
      <c r="G198" s="364"/>
    </row>
    <row r="199" ht="12.75" customHeight="1">
      <c r="A199" s="364"/>
      <c r="C199" s="364"/>
      <c r="D199" s="364"/>
      <c r="G199" s="364"/>
    </row>
    <row r="200" ht="12.75" customHeight="1">
      <c r="A200" s="364"/>
      <c r="C200" s="364"/>
      <c r="D200" s="364"/>
      <c r="G200" s="364"/>
    </row>
    <row r="201" ht="12.75" customHeight="1">
      <c r="A201" s="364"/>
      <c r="C201" s="364"/>
      <c r="D201" s="364"/>
      <c r="G201" s="364"/>
    </row>
    <row r="202" ht="12.75" customHeight="1">
      <c r="A202" s="364"/>
      <c r="C202" s="364"/>
      <c r="D202" s="364"/>
      <c r="G202" s="364"/>
    </row>
    <row r="203" ht="12.75" customHeight="1">
      <c r="A203" s="364"/>
      <c r="C203" s="364"/>
      <c r="D203" s="364"/>
      <c r="G203" s="364"/>
    </row>
    <row r="204" ht="12.75" customHeight="1">
      <c r="A204" s="364"/>
      <c r="C204" s="364"/>
      <c r="D204" s="364"/>
      <c r="G204" s="364"/>
    </row>
    <row r="205" ht="12.75" customHeight="1">
      <c r="A205" s="364"/>
      <c r="C205" s="364"/>
      <c r="D205" s="364"/>
      <c r="G205" s="364"/>
    </row>
    <row r="206" ht="12.75" customHeight="1">
      <c r="A206" s="364"/>
      <c r="C206" s="364"/>
      <c r="D206" s="364"/>
      <c r="G206" s="364"/>
    </row>
    <row r="207" ht="12.75" customHeight="1">
      <c r="A207" s="364"/>
      <c r="C207" s="364"/>
      <c r="D207" s="364"/>
      <c r="G207" s="364"/>
    </row>
    <row r="208" ht="12.75" customHeight="1">
      <c r="A208" s="364"/>
      <c r="C208" s="364"/>
      <c r="D208" s="364"/>
      <c r="G208" s="364"/>
    </row>
    <row r="209" ht="12.75" customHeight="1">
      <c r="A209" s="364"/>
      <c r="C209" s="364"/>
      <c r="D209" s="364"/>
      <c r="G209" s="364"/>
    </row>
    <row r="210" ht="12.75" customHeight="1">
      <c r="A210" s="364"/>
      <c r="C210" s="364"/>
      <c r="D210" s="364"/>
      <c r="G210" s="364"/>
    </row>
    <row r="211" ht="12.75" customHeight="1">
      <c r="A211" s="364"/>
      <c r="C211" s="364"/>
      <c r="D211" s="364"/>
      <c r="G211" s="364"/>
    </row>
    <row r="212" ht="12.75" customHeight="1">
      <c r="A212" s="364"/>
      <c r="C212" s="364"/>
      <c r="D212" s="364"/>
      <c r="G212" s="364"/>
    </row>
    <row r="213" ht="12.75" customHeight="1">
      <c r="A213" s="364"/>
      <c r="C213" s="364"/>
      <c r="D213" s="364"/>
      <c r="G213" s="364"/>
    </row>
    <row r="214" ht="12.75" customHeight="1">
      <c r="A214" s="364"/>
      <c r="C214" s="364"/>
      <c r="D214" s="364"/>
      <c r="G214" s="364"/>
    </row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10.88"/>
    <col customWidth="1" min="2" max="2" width="7.0"/>
    <col customWidth="1" min="3" max="3" width="8.38"/>
    <col customWidth="1" min="4" max="4" width="6.0"/>
    <col customWidth="1" min="5" max="7" width="7.0"/>
    <col customWidth="1" min="8" max="8" width="10.88"/>
    <col customWidth="1" min="9" max="9" width="7.0"/>
    <col customWidth="1" min="10" max="26" width="11.0"/>
  </cols>
  <sheetData>
    <row r="1" ht="13.5" customHeight="1">
      <c r="A1" s="364" t="s">
        <v>272</v>
      </c>
      <c r="C1" s="364"/>
      <c r="D1" s="364"/>
      <c r="G1" s="364" t="s">
        <v>274</v>
      </c>
      <c r="H1" s="364"/>
    </row>
    <row r="2" ht="13.5" customHeight="1">
      <c r="A2" s="448" t="s">
        <v>277</v>
      </c>
      <c r="B2" s="449" t="s">
        <v>125</v>
      </c>
      <c r="C2" s="449" t="s">
        <v>126</v>
      </c>
      <c r="D2" s="641" t="s">
        <v>127</v>
      </c>
      <c r="G2" s="448" t="s">
        <v>276</v>
      </c>
      <c r="H2" s="449" t="s">
        <v>277</v>
      </c>
      <c r="I2" s="641" t="s">
        <v>275</v>
      </c>
    </row>
    <row r="3" ht="25.5" customHeight="1">
      <c r="A3" s="679" t="s">
        <v>187</v>
      </c>
      <c r="B3" s="680">
        <v>11.0</v>
      </c>
      <c r="C3" s="680">
        <v>2.0</v>
      </c>
      <c r="D3" s="681">
        <v>0.0</v>
      </c>
      <c r="G3" s="682">
        <v>1.0</v>
      </c>
      <c r="H3" s="473" t="s">
        <v>151</v>
      </c>
      <c r="I3" s="683" t="s">
        <v>116</v>
      </c>
    </row>
    <row r="4" ht="38.25" customHeight="1">
      <c r="A4" s="689" t="s">
        <v>234</v>
      </c>
      <c r="B4" s="685">
        <v>9.0</v>
      </c>
      <c r="C4" s="685">
        <v>4.0</v>
      </c>
      <c r="D4" s="686">
        <v>0.0</v>
      </c>
      <c r="G4" s="687">
        <v>2.0</v>
      </c>
      <c r="H4" s="478" t="s">
        <v>315</v>
      </c>
      <c r="I4" s="690" t="s">
        <v>34</v>
      </c>
    </row>
    <row r="5" ht="25.5" customHeight="1">
      <c r="A5" s="689" t="s">
        <v>316</v>
      </c>
      <c r="B5" s="685">
        <v>8.0</v>
      </c>
      <c r="C5" s="685">
        <v>5.0</v>
      </c>
      <c r="D5" s="686">
        <v>0.0</v>
      </c>
      <c r="G5" s="687">
        <v>3.0</v>
      </c>
      <c r="H5" s="478" t="s">
        <v>317</v>
      </c>
      <c r="I5" s="690" t="s">
        <v>39</v>
      </c>
    </row>
    <row r="6" ht="12.75" customHeight="1">
      <c r="A6" s="689" t="s">
        <v>318</v>
      </c>
      <c r="B6" s="685">
        <v>7.0</v>
      </c>
      <c r="C6" s="685">
        <v>6.0</v>
      </c>
      <c r="D6" s="686">
        <v>0.0</v>
      </c>
      <c r="G6" s="687">
        <v>4.0</v>
      </c>
      <c r="H6" s="478" t="s">
        <v>319</v>
      </c>
      <c r="I6" s="690" t="s">
        <v>43</v>
      </c>
    </row>
    <row r="7" ht="25.5" customHeight="1">
      <c r="A7" s="689" t="s">
        <v>271</v>
      </c>
      <c r="B7" s="685">
        <v>7.0</v>
      </c>
      <c r="C7" s="685">
        <v>6.0</v>
      </c>
      <c r="D7" s="686">
        <v>0.0</v>
      </c>
      <c r="G7" s="687">
        <v>5.0</v>
      </c>
      <c r="H7" s="478" t="s">
        <v>209</v>
      </c>
      <c r="I7" s="690" t="s">
        <v>38</v>
      </c>
    </row>
    <row r="8" ht="38.25" customHeight="1">
      <c r="A8" s="689" t="s">
        <v>149</v>
      </c>
      <c r="B8" s="685">
        <v>7.0</v>
      </c>
      <c r="C8" s="685">
        <v>6.0</v>
      </c>
      <c r="D8" s="686">
        <v>0.0</v>
      </c>
      <c r="G8" s="687">
        <v>6.0</v>
      </c>
      <c r="H8" s="478" t="s">
        <v>320</v>
      </c>
      <c r="I8" s="690" t="s">
        <v>48</v>
      </c>
    </row>
    <row r="9" ht="25.5" customHeight="1">
      <c r="A9" s="684" t="s">
        <v>209</v>
      </c>
      <c r="B9" s="685">
        <v>6.0</v>
      </c>
      <c r="C9" s="685">
        <v>7.0</v>
      </c>
      <c r="D9" s="686">
        <v>0.0</v>
      </c>
      <c r="G9" s="687">
        <v>7.0</v>
      </c>
      <c r="H9" s="478" t="s">
        <v>321</v>
      </c>
      <c r="I9" s="690" t="s">
        <v>42</v>
      </c>
    </row>
    <row r="10" ht="25.5" customHeight="1">
      <c r="A10" s="689" t="s">
        <v>151</v>
      </c>
      <c r="B10" s="685">
        <v>6.0</v>
      </c>
      <c r="C10" s="685">
        <v>7.0</v>
      </c>
      <c r="D10" s="686">
        <v>0.0</v>
      </c>
      <c r="G10" s="687">
        <v>8.0</v>
      </c>
      <c r="H10" s="478" t="s">
        <v>316</v>
      </c>
      <c r="I10" s="690" t="s">
        <v>47</v>
      </c>
    </row>
    <row r="11" ht="25.5" customHeight="1">
      <c r="A11" s="689" t="s">
        <v>322</v>
      </c>
      <c r="B11" s="685">
        <v>5.0</v>
      </c>
      <c r="C11" s="685">
        <v>8.0</v>
      </c>
      <c r="D11" s="686">
        <v>0.0</v>
      </c>
      <c r="G11" s="687">
        <v>9.0</v>
      </c>
      <c r="H11" s="478" t="s">
        <v>271</v>
      </c>
      <c r="I11" s="690" t="s">
        <v>35</v>
      </c>
    </row>
    <row r="12" ht="25.5" customHeight="1">
      <c r="A12" s="689" t="s">
        <v>317</v>
      </c>
      <c r="B12" s="685">
        <v>5.0</v>
      </c>
      <c r="C12" s="685">
        <v>8.0</v>
      </c>
      <c r="D12" s="686">
        <v>0.0</v>
      </c>
      <c r="G12" s="687">
        <v>10.0</v>
      </c>
      <c r="H12" s="478" t="s">
        <v>149</v>
      </c>
      <c r="I12" s="690" t="s">
        <v>36</v>
      </c>
    </row>
    <row r="13" ht="38.25" customHeight="1">
      <c r="A13" s="689" t="s">
        <v>315</v>
      </c>
      <c r="B13" s="685">
        <v>4.0</v>
      </c>
      <c r="C13" s="685">
        <v>9.0</v>
      </c>
      <c r="D13" s="686">
        <v>0.0</v>
      </c>
      <c r="G13" s="687">
        <v>11.0</v>
      </c>
      <c r="H13" s="478" t="s">
        <v>234</v>
      </c>
      <c r="I13" s="690" t="s">
        <v>31</v>
      </c>
    </row>
    <row r="14" ht="39.0" customHeight="1">
      <c r="A14" s="692" t="s">
        <v>320</v>
      </c>
      <c r="B14" s="693">
        <v>3.0</v>
      </c>
      <c r="C14" s="693">
        <v>10.0</v>
      </c>
      <c r="D14" s="694">
        <v>0.0</v>
      </c>
      <c r="G14" s="695">
        <v>12.0</v>
      </c>
      <c r="H14" s="485" t="s">
        <v>187</v>
      </c>
      <c r="I14" s="696" t="s">
        <v>37</v>
      </c>
    </row>
    <row r="15" ht="12.75" customHeight="1">
      <c r="A15" s="364"/>
      <c r="C15" s="364"/>
      <c r="D15" s="364"/>
      <c r="H15" s="364"/>
    </row>
    <row r="16" ht="12.75" customHeight="1">
      <c r="A16" s="364"/>
      <c r="C16" s="364"/>
      <c r="D16" s="364"/>
      <c r="H16" s="364"/>
    </row>
    <row r="17" ht="12.75" customHeight="1">
      <c r="A17" s="364"/>
      <c r="C17" s="364"/>
      <c r="D17" s="364"/>
      <c r="H17" s="364"/>
    </row>
    <row r="18" ht="12.75" customHeight="1">
      <c r="A18" s="364"/>
      <c r="C18" s="364"/>
      <c r="D18" s="364"/>
      <c r="H18" s="364"/>
    </row>
    <row r="19" ht="12.75" customHeight="1">
      <c r="A19" s="364"/>
      <c r="C19" s="364"/>
      <c r="D19" s="364"/>
      <c r="H19" s="364"/>
    </row>
    <row r="20" ht="12.75" customHeight="1">
      <c r="A20" s="364"/>
      <c r="C20" s="364"/>
      <c r="D20" s="364"/>
      <c r="H20" s="364"/>
    </row>
    <row r="21" ht="12.75" customHeight="1">
      <c r="A21" s="364"/>
      <c r="C21" s="364"/>
      <c r="D21" s="364"/>
      <c r="H21" s="364"/>
    </row>
    <row r="22" ht="12.75" customHeight="1">
      <c r="A22" s="364"/>
      <c r="C22" s="364"/>
      <c r="D22" s="364"/>
      <c r="H22" s="364"/>
    </row>
    <row r="23" ht="12.75" customHeight="1">
      <c r="A23" s="364"/>
      <c r="C23" s="364"/>
      <c r="D23" s="364"/>
      <c r="H23" s="364"/>
    </row>
    <row r="24" ht="12.75" customHeight="1">
      <c r="A24" s="364"/>
      <c r="C24" s="364"/>
      <c r="D24" s="364"/>
      <c r="H24" s="364"/>
    </row>
    <row r="25" ht="12.75" customHeight="1">
      <c r="A25" s="364"/>
      <c r="C25" s="364"/>
      <c r="D25" s="364"/>
      <c r="H25" s="364"/>
    </row>
    <row r="26" ht="12.75" customHeight="1">
      <c r="A26" s="364"/>
      <c r="C26" s="364"/>
      <c r="D26" s="364"/>
      <c r="H26" s="364"/>
    </row>
    <row r="27" ht="12.75" customHeight="1">
      <c r="A27" s="364"/>
      <c r="C27" s="364"/>
      <c r="D27" s="364"/>
      <c r="H27" s="364"/>
    </row>
    <row r="28" ht="12.75" customHeight="1">
      <c r="A28" s="364"/>
      <c r="C28" s="364"/>
      <c r="D28" s="364"/>
      <c r="H28" s="364"/>
    </row>
    <row r="29" ht="12.75" customHeight="1">
      <c r="A29" s="364"/>
      <c r="C29" s="364"/>
      <c r="D29" s="364"/>
      <c r="H29" s="364"/>
    </row>
    <row r="30" ht="12.75" customHeight="1">
      <c r="A30" s="364"/>
      <c r="C30" s="364"/>
      <c r="D30" s="364"/>
      <c r="H30" s="364"/>
    </row>
    <row r="31" ht="12.75" customHeight="1">
      <c r="A31" s="364"/>
      <c r="C31" s="364"/>
      <c r="D31" s="364"/>
      <c r="H31" s="364"/>
    </row>
    <row r="32" ht="12.75" customHeight="1">
      <c r="A32" s="364"/>
      <c r="C32" s="364"/>
      <c r="D32" s="364"/>
      <c r="H32" s="364"/>
    </row>
    <row r="33" ht="12.75" customHeight="1">
      <c r="A33" s="364"/>
      <c r="C33" s="364"/>
      <c r="D33" s="364"/>
      <c r="H33" s="364"/>
    </row>
    <row r="34" ht="12.75" customHeight="1">
      <c r="A34" s="364"/>
      <c r="C34" s="364"/>
      <c r="D34" s="364"/>
      <c r="H34" s="364"/>
    </row>
    <row r="35" ht="12.75" customHeight="1">
      <c r="A35" s="364"/>
      <c r="C35" s="364"/>
      <c r="D35" s="364"/>
      <c r="H35" s="364"/>
    </row>
    <row r="36" ht="12.75" customHeight="1">
      <c r="A36" s="364"/>
      <c r="C36" s="364"/>
      <c r="D36" s="364"/>
      <c r="H36" s="364"/>
    </row>
    <row r="37" ht="12.75" customHeight="1">
      <c r="A37" s="364"/>
      <c r="C37" s="364"/>
      <c r="D37" s="364"/>
      <c r="H37" s="364"/>
    </row>
    <row r="38" ht="12.75" customHeight="1">
      <c r="A38" s="364"/>
      <c r="C38" s="364"/>
      <c r="D38" s="364"/>
      <c r="H38" s="364"/>
    </row>
    <row r="39" ht="12.75" customHeight="1">
      <c r="A39" s="364"/>
      <c r="C39" s="364"/>
      <c r="D39" s="364"/>
      <c r="H39" s="364"/>
    </row>
    <row r="40" ht="12.75" customHeight="1">
      <c r="A40" s="364"/>
      <c r="C40" s="364"/>
      <c r="D40" s="364"/>
      <c r="H40" s="364"/>
    </row>
    <row r="41" ht="12.75" customHeight="1">
      <c r="A41" s="364"/>
      <c r="C41" s="364"/>
      <c r="D41" s="364"/>
      <c r="H41" s="364"/>
    </row>
    <row r="42" ht="12.75" customHeight="1">
      <c r="A42" s="364"/>
      <c r="C42" s="364"/>
      <c r="D42" s="364"/>
      <c r="H42" s="364"/>
    </row>
    <row r="43" ht="12.75" customHeight="1">
      <c r="A43" s="364"/>
      <c r="C43" s="364"/>
      <c r="D43" s="364"/>
      <c r="H43" s="364"/>
    </row>
    <row r="44" ht="12.75" customHeight="1">
      <c r="A44" s="364"/>
      <c r="C44" s="364"/>
      <c r="D44" s="364"/>
      <c r="H44" s="364"/>
    </row>
    <row r="45" ht="12.75" customHeight="1">
      <c r="A45" s="364"/>
      <c r="C45" s="364"/>
      <c r="D45" s="364"/>
      <c r="H45" s="364"/>
    </row>
    <row r="46" ht="12.75" customHeight="1">
      <c r="A46" s="364"/>
      <c r="C46" s="364"/>
      <c r="D46" s="364"/>
      <c r="H46" s="364"/>
    </row>
    <row r="47" ht="12.75" customHeight="1">
      <c r="A47" s="364"/>
      <c r="C47" s="364"/>
      <c r="D47" s="364"/>
      <c r="H47" s="364"/>
    </row>
    <row r="48" ht="12.75" customHeight="1">
      <c r="A48" s="364"/>
      <c r="C48" s="364"/>
      <c r="D48" s="364"/>
      <c r="H48" s="364"/>
    </row>
    <row r="49" ht="12.75" customHeight="1">
      <c r="A49" s="364"/>
      <c r="C49" s="364"/>
      <c r="D49" s="364"/>
      <c r="H49" s="364"/>
    </row>
    <row r="50" ht="12.75" customHeight="1">
      <c r="A50" s="364"/>
      <c r="C50" s="364"/>
      <c r="D50" s="364"/>
      <c r="H50" s="364"/>
    </row>
    <row r="51" ht="12.75" customHeight="1">
      <c r="A51" s="364"/>
      <c r="C51" s="364"/>
      <c r="D51" s="364"/>
      <c r="H51" s="364"/>
    </row>
    <row r="52" ht="12.75" customHeight="1">
      <c r="A52" s="364"/>
      <c r="C52" s="364"/>
      <c r="D52" s="364"/>
      <c r="H52" s="364"/>
    </row>
    <row r="53" ht="12.75" customHeight="1">
      <c r="A53" s="364"/>
      <c r="C53" s="364"/>
      <c r="D53" s="364"/>
      <c r="H53" s="364"/>
    </row>
    <row r="54" ht="12.75" customHeight="1">
      <c r="A54" s="364"/>
      <c r="C54" s="364"/>
      <c r="D54" s="364"/>
      <c r="H54" s="364"/>
    </row>
    <row r="55" ht="12.75" customHeight="1">
      <c r="A55" s="364"/>
      <c r="C55" s="364"/>
      <c r="D55" s="364"/>
      <c r="H55" s="364"/>
    </row>
    <row r="56" ht="12.75" customHeight="1">
      <c r="A56" s="364"/>
      <c r="C56" s="364"/>
      <c r="D56" s="364"/>
      <c r="H56" s="364"/>
    </row>
    <row r="57" ht="12.75" customHeight="1">
      <c r="A57" s="364"/>
      <c r="C57" s="364"/>
      <c r="D57" s="364"/>
      <c r="H57" s="364"/>
    </row>
    <row r="58" ht="12.75" customHeight="1">
      <c r="A58" s="364"/>
      <c r="C58" s="364"/>
      <c r="D58" s="364"/>
      <c r="H58" s="364"/>
    </row>
    <row r="59" ht="12.75" customHeight="1">
      <c r="A59" s="364"/>
      <c r="C59" s="364"/>
      <c r="D59" s="364"/>
      <c r="H59" s="364"/>
    </row>
    <row r="60" ht="12.75" customHeight="1">
      <c r="A60" s="364"/>
      <c r="C60" s="364"/>
      <c r="D60" s="364"/>
      <c r="H60" s="364"/>
    </row>
    <row r="61" ht="12.75" customHeight="1">
      <c r="A61" s="364"/>
      <c r="C61" s="364"/>
      <c r="D61" s="364"/>
      <c r="H61" s="364"/>
    </row>
    <row r="62" ht="12.75" customHeight="1">
      <c r="A62" s="364"/>
      <c r="C62" s="364"/>
      <c r="D62" s="364"/>
      <c r="H62" s="364"/>
    </row>
    <row r="63" ht="12.75" customHeight="1">
      <c r="A63" s="364"/>
      <c r="C63" s="364"/>
      <c r="D63" s="364"/>
      <c r="H63" s="364"/>
    </row>
    <row r="64" ht="12.75" customHeight="1">
      <c r="A64" s="364"/>
      <c r="C64" s="364"/>
      <c r="D64" s="364"/>
      <c r="H64" s="364"/>
    </row>
    <row r="65" ht="12.75" customHeight="1">
      <c r="A65" s="364"/>
      <c r="C65" s="364"/>
      <c r="D65" s="364"/>
      <c r="H65" s="364"/>
    </row>
    <row r="66" ht="12.75" customHeight="1">
      <c r="A66" s="364"/>
      <c r="C66" s="364"/>
      <c r="D66" s="364"/>
      <c r="H66" s="364"/>
    </row>
    <row r="67" ht="12.75" customHeight="1">
      <c r="A67" s="364"/>
      <c r="C67" s="364"/>
      <c r="D67" s="364"/>
      <c r="H67" s="364"/>
    </row>
    <row r="68" ht="12.75" customHeight="1">
      <c r="A68" s="364"/>
      <c r="C68" s="364"/>
      <c r="D68" s="364"/>
      <c r="H68" s="364"/>
    </row>
    <row r="69" ht="12.75" customHeight="1">
      <c r="A69" s="364"/>
      <c r="C69" s="364"/>
      <c r="D69" s="364"/>
      <c r="H69" s="364"/>
    </row>
    <row r="70" ht="12.75" customHeight="1">
      <c r="A70" s="364"/>
      <c r="C70" s="364"/>
      <c r="D70" s="364"/>
      <c r="H70" s="364"/>
    </row>
    <row r="71" ht="12.75" customHeight="1">
      <c r="A71" s="364"/>
      <c r="C71" s="364"/>
      <c r="D71" s="364"/>
      <c r="H71" s="364"/>
    </row>
    <row r="72" ht="12.75" customHeight="1">
      <c r="A72" s="364"/>
      <c r="C72" s="364"/>
      <c r="D72" s="364"/>
      <c r="H72" s="364"/>
    </row>
    <row r="73" ht="12.75" customHeight="1">
      <c r="A73" s="364"/>
      <c r="C73" s="364"/>
      <c r="D73" s="364"/>
      <c r="H73" s="364"/>
    </row>
    <row r="74" ht="12.75" customHeight="1">
      <c r="A74" s="364"/>
      <c r="C74" s="364"/>
      <c r="D74" s="364"/>
      <c r="H74" s="364"/>
    </row>
    <row r="75" ht="12.75" customHeight="1">
      <c r="A75" s="364"/>
      <c r="C75" s="364"/>
      <c r="D75" s="364"/>
      <c r="H75" s="364"/>
    </row>
    <row r="76" ht="12.75" customHeight="1">
      <c r="A76" s="364"/>
      <c r="C76" s="364"/>
      <c r="D76" s="364"/>
      <c r="H76" s="364"/>
    </row>
    <row r="77" ht="12.75" customHeight="1">
      <c r="A77" s="364"/>
      <c r="C77" s="364"/>
      <c r="D77" s="364"/>
      <c r="H77" s="364"/>
    </row>
    <row r="78" ht="12.75" customHeight="1">
      <c r="A78" s="364"/>
      <c r="C78" s="364"/>
      <c r="D78" s="364"/>
      <c r="H78" s="364"/>
    </row>
    <row r="79" ht="12.75" customHeight="1">
      <c r="A79" s="364"/>
      <c r="C79" s="364"/>
      <c r="D79" s="364"/>
      <c r="H79" s="364"/>
    </row>
    <row r="80" ht="12.75" customHeight="1">
      <c r="A80" s="364"/>
      <c r="C80" s="364"/>
      <c r="D80" s="364"/>
      <c r="H80" s="364"/>
    </row>
    <row r="81" ht="12.75" customHeight="1">
      <c r="A81" s="364"/>
      <c r="C81" s="364"/>
      <c r="D81" s="364"/>
      <c r="H81" s="364"/>
    </row>
    <row r="82" ht="12.75" customHeight="1">
      <c r="A82" s="364"/>
      <c r="C82" s="364"/>
      <c r="D82" s="364"/>
      <c r="H82" s="364"/>
    </row>
    <row r="83" ht="12.75" customHeight="1">
      <c r="A83" s="364"/>
      <c r="C83" s="364"/>
      <c r="D83" s="364"/>
      <c r="H83" s="364"/>
    </row>
    <row r="84" ht="12.75" customHeight="1">
      <c r="A84" s="364"/>
      <c r="C84" s="364"/>
      <c r="D84" s="364"/>
      <c r="H84" s="364"/>
    </row>
    <row r="85" ht="12.75" customHeight="1">
      <c r="A85" s="364"/>
      <c r="C85" s="364"/>
      <c r="D85" s="364"/>
      <c r="H85" s="364"/>
    </row>
    <row r="86" ht="12.75" customHeight="1">
      <c r="A86" s="364"/>
      <c r="C86" s="364"/>
      <c r="D86" s="364"/>
      <c r="H86" s="364"/>
    </row>
    <row r="87" ht="12.75" customHeight="1">
      <c r="A87" s="364"/>
      <c r="C87" s="364"/>
      <c r="D87" s="364"/>
      <c r="H87" s="364"/>
    </row>
    <row r="88" ht="12.75" customHeight="1">
      <c r="A88" s="364"/>
      <c r="C88" s="364"/>
      <c r="D88" s="364"/>
      <c r="H88" s="364"/>
    </row>
    <row r="89" ht="12.75" customHeight="1">
      <c r="A89" s="364"/>
      <c r="C89" s="364"/>
      <c r="D89" s="364"/>
      <c r="H89" s="364"/>
    </row>
    <row r="90" ht="12.75" customHeight="1">
      <c r="A90" s="364"/>
      <c r="C90" s="364"/>
      <c r="D90" s="364"/>
      <c r="H90" s="364"/>
    </row>
    <row r="91" ht="12.75" customHeight="1">
      <c r="A91" s="364"/>
      <c r="C91" s="364"/>
      <c r="D91" s="364"/>
      <c r="H91" s="364"/>
    </row>
    <row r="92" ht="12.75" customHeight="1">
      <c r="A92" s="364"/>
      <c r="C92" s="364"/>
      <c r="D92" s="364"/>
      <c r="H92" s="364"/>
    </row>
    <row r="93" ht="12.75" customHeight="1">
      <c r="A93" s="364"/>
      <c r="C93" s="364"/>
      <c r="D93" s="364"/>
      <c r="H93" s="364"/>
    </row>
    <row r="94" ht="12.75" customHeight="1">
      <c r="A94" s="364"/>
      <c r="C94" s="364"/>
      <c r="D94" s="364"/>
      <c r="H94" s="364"/>
    </row>
    <row r="95" ht="12.75" customHeight="1">
      <c r="A95" s="364"/>
      <c r="C95" s="364"/>
      <c r="D95" s="364"/>
      <c r="H95" s="364"/>
    </row>
    <row r="96" ht="12.75" customHeight="1">
      <c r="A96" s="364"/>
      <c r="C96" s="364"/>
      <c r="D96" s="364"/>
      <c r="H96" s="364"/>
    </row>
    <row r="97" ht="12.75" customHeight="1">
      <c r="A97" s="364"/>
      <c r="C97" s="364"/>
      <c r="D97" s="364"/>
      <c r="H97" s="364"/>
    </row>
    <row r="98" ht="12.75" customHeight="1">
      <c r="A98" s="364"/>
      <c r="C98" s="364"/>
      <c r="D98" s="364"/>
      <c r="H98" s="364"/>
    </row>
    <row r="99" ht="12.75" customHeight="1">
      <c r="A99" s="364"/>
      <c r="C99" s="364"/>
      <c r="D99" s="364"/>
      <c r="H99" s="364"/>
    </row>
    <row r="100" ht="12.75" customHeight="1">
      <c r="A100" s="364"/>
      <c r="C100" s="364"/>
      <c r="D100" s="364"/>
      <c r="H100" s="364"/>
    </row>
    <row r="101" ht="12.75" customHeight="1">
      <c r="A101" s="364"/>
      <c r="C101" s="364"/>
      <c r="D101" s="364"/>
      <c r="H101" s="364"/>
    </row>
    <row r="102" ht="12.75" customHeight="1">
      <c r="A102" s="364"/>
      <c r="C102" s="364"/>
      <c r="D102" s="364"/>
      <c r="H102" s="364"/>
    </row>
    <row r="103" ht="12.75" customHeight="1">
      <c r="A103" s="364"/>
      <c r="C103" s="364"/>
      <c r="D103" s="364"/>
      <c r="H103" s="364"/>
    </row>
    <row r="104" ht="12.75" customHeight="1">
      <c r="A104" s="364"/>
      <c r="C104" s="364"/>
      <c r="D104" s="364"/>
      <c r="H104" s="364"/>
    </row>
    <row r="105" ht="12.75" customHeight="1">
      <c r="A105" s="364"/>
      <c r="C105" s="364"/>
      <c r="D105" s="364"/>
      <c r="H105" s="364"/>
    </row>
    <row r="106" ht="12.75" customHeight="1">
      <c r="A106" s="364"/>
      <c r="C106" s="364"/>
      <c r="D106" s="364"/>
      <c r="H106" s="364"/>
    </row>
    <row r="107" ht="12.75" customHeight="1">
      <c r="A107" s="364"/>
      <c r="C107" s="364"/>
      <c r="D107" s="364"/>
      <c r="H107" s="364"/>
    </row>
    <row r="108" ht="12.75" customHeight="1">
      <c r="A108" s="364"/>
      <c r="C108" s="364"/>
      <c r="D108" s="364"/>
      <c r="H108" s="364"/>
    </row>
    <row r="109" ht="12.75" customHeight="1">
      <c r="A109" s="364"/>
      <c r="C109" s="364"/>
      <c r="D109" s="364"/>
      <c r="H109" s="364"/>
    </row>
    <row r="110" ht="12.75" customHeight="1">
      <c r="A110" s="364"/>
      <c r="C110" s="364"/>
      <c r="D110" s="364"/>
      <c r="H110" s="364"/>
    </row>
    <row r="111" ht="12.75" customHeight="1">
      <c r="A111" s="364"/>
      <c r="C111" s="364"/>
      <c r="D111" s="364"/>
      <c r="H111" s="364"/>
    </row>
    <row r="112" ht="12.75" customHeight="1">
      <c r="A112" s="364"/>
      <c r="C112" s="364"/>
      <c r="D112" s="364"/>
      <c r="H112" s="364"/>
    </row>
    <row r="113" ht="12.75" customHeight="1">
      <c r="A113" s="364"/>
      <c r="C113" s="364"/>
      <c r="D113" s="364"/>
      <c r="H113" s="364"/>
    </row>
    <row r="114" ht="12.75" customHeight="1">
      <c r="A114" s="364"/>
      <c r="C114" s="364"/>
      <c r="D114" s="364"/>
      <c r="H114" s="364"/>
    </row>
    <row r="115" ht="12.75" customHeight="1">
      <c r="A115" s="364"/>
      <c r="C115" s="364"/>
      <c r="D115" s="364"/>
      <c r="H115" s="364"/>
    </row>
    <row r="116" ht="12.75" customHeight="1">
      <c r="A116" s="364"/>
      <c r="C116" s="364"/>
      <c r="D116" s="364"/>
      <c r="H116" s="364"/>
    </row>
    <row r="117" ht="12.75" customHeight="1">
      <c r="A117" s="364"/>
      <c r="C117" s="364"/>
      <c r="D117" s="364"/>
      <c r="H117" s="364"/>
    </row>
    <row r="118" ht="12.75" customHeight="1">
      <c r="A118" s="364"/>
      <c r="C118" s="364"/>
      <c r="D118" s="364"/>
      <c r="H118" s="364"/>
    </row>
    <row r="119" ht="12.75" customHeight="1">
      <c r="A119" s="364"/>
      <c r="C119" s="364"/>
      <c r="D119" s="364"/>
      <c r="H119" s="364"/>
    </row>
    <row r="120" ht="12.75" customHeight="1">
      <c r="A120" s="364"/>
      <c r="C120" s="364"/>
      <c r="D120" s="364"/>
      <c r="H120" s="364"/>
    </row>
    <row r="121" ht="12.75" customHeight="1">
      <c r="A121" s="364"/>
      <c r="C121" s="364"/>
      <c r="D121" s="364"/>
      <c r="H121" s="364"/>
    </row>
    <row r="122" ht="12.75" customHeight="1">
      <c r="A122" s="364"/>
      <c r="C122" s="364"/>
      <c r="D122" s="364"/>
      <c r="H122" s="364"/>
    </row>
    <row r="123" ht="12.75" customHeight="1">
      <c r="A123" s="364"/>
      <c r="C123" s="364"/>
      <c r="D123" s="364"/>
      <c r="H123" s="364"/>
    </row>
    <row r="124" ht="12.75" customHeight="1">
      <c r="A124" s="364"/>
      <c r="C124" s="364"/>
      <c r="D124" s="364"/>
      <c r="H124" s="364"/>
    </row>
    <row r="125" ht="12.75" customHeight="1">
      <c r="A125" s="364"/>
      <c r="C125" s="364"/>
      <c r="D125" s="364"/>
      <c r="H125" s="364"/>
    </row>
    <row r="126" ht="12.75" customHeight="1">
      <c r="A126" s="364"/>
      <c r="C126" s="364"/>
      <c r="D126" s="364"/>
      <c r="H126" s="364"/>
    </row>
    <row r="127" ht="12.75" customHeight="1">
      <c r="A127" s="364"/>
      <c r="C127" s="364"/>
      <c r="D127" s="364"/>
      <c r="H127" s="364"/>
    </row>
    <row r="128" ht="12.75" customHeight="1">
      <c r="A128" s="364"/>
      <c r="C128" s="364"/>
      <c r="D128" s="364"/>
      <c r="H128" s="364"/>
    </row>
    <row r="129" ht="12.75" customHeight="1">
      <c r="A129" s="364"/>
      <c r="C129" s="364"/>
      <c r="D129" s="364"/>
      <c r="H129" s="364"/>
    </row>
    <row r="130" ht="12.75" customHeight="1">
      <c r="A130" s="364"/>
      <c r="C130" s="364"/>
      <c r="D130" s="364"/>
      <c r="H130" s="364"/>
    </row>
    <row r="131" ht="12.75" customHeight="1">
      <c r="A131" s="364"/>
      <c r="C131" s="364"/>
      <c r="D131" s="364"/>
      <c r="H131" s="364"/>
    </row>
    <row r="132" ht="12.75" customHeight="1">
      <c r="A132" s="364"/>
      <c r="C132" s="364"/>
      <c r="D132" s="364"/>
      <c r="H132" s="364"/>
    </row>
    <row r="133" ht="12.75" customHeight="1">
      <c r="A133" s="364"/>
      <c r="C133" s="364"/>
      <c r="D133" s="364"/>
      <c r="H133" s="364"/>
    </row>
    <row r="134" ht="12.75" customHeight="1">
      <c r="A134" s="364"/>
      <c r="C134" s="364"/>
      <c r="D134" s="364"/>
      <c r="H134" s="364"/>
    </row>
    <row r="135" ht="12.75" customHeight="1">
      <c r="A135" s="364"/>
      <c r="C135" s="364"/>
      <c r="D135" s="364"/>
      <c r="H135" s="364"/>
    </row>
    <row r="136" ht="12.75" customHeight="1">
      <c r="A136" s="364"/>
      <c r="C136" s="364"/>
      <c r="D136" s="364"/>
      <c r="H136" s="364"/>
    </row>
    <row r="137" ht="12.75" customHeight="1">
      <c r="A137" s="364"/>
      <c r="C137" s="364"/>
      <c r="D137" s="364"/>
      <c r="H137" s="364"/>
    </row>
    <row r="138" ht="12.75" customHeight="1">
      <c r="A138" s="364"/>
      <c r="C138" s="364"/>
      <c r="D138" s="364"/>
      <c r="H138" s="364"/>
    </row>
    <row r="139" ht="12.75" customHeight="1">
      <c r="A139" s="364"/>
      <c r="C139" s="364"/>
      <c r="D139" s="364"/>
      <c r="H139" s="364"/>
    </row>
    <row r="140" ht="12.75" customHeight="1">
      <c r="A140" s="364"/>
      <c r="C140" s="364"/>
      <c r="D140" s="364"/>
      <c r="H140" s="364"/>
    </row>
    <row r="141" ht="12.75" customHeight="1">
      <c r="A141" s="364"/>
      <c r="C141" s="364"/>
      <c r="D141" s="364"/>
      <c r="H141" s="364"/>
    </row>
    <row r="142" ht="12.75" customHeight="1">
      <c r="A142" s="364"/>
      <c r="C142" s="364"/>
      <c r="D142" s="364"/>
      <c r="H142" s="364"/>
    </row>
    <row r="143" ht="12.75" customHeight="1">
      <c r="A143" s="364"/>
      <c r="C143" s="364"/>
      <c r="D143" s="364"/>
      <c r="H143" s="364"/>
    </row>
    <row r="144" ht="12.75" customHeight="1">
      <c r="A144" s="364"/>
      <c r="C144" s="364"/>
      <c r="D144" s="364"/>
      <c r="H144" s="364"/>
    </row>
    <row r="145" ht="12.75" customHeight="1">
      <c r="A145" s="364"/>
      <c r="C145" s="364"/>
      <c r="D145" s="364"/>
      <c r="H145" s="364"/>
    </row>
    <row r="146" ht="12.75" customHeight="1">
      <c r="A146" s="364"/>
      <c r="C146" s="364"/>
      <c r="D146" s="364"/>
      <c r="H146" s="364"/>
    </row>
    <row r="147" ht="12.75" customHeight="1">
      <c r="A147" s="364"/>
      <c r="C147" s="364"/>
      <c r="D147" s="364"/>
      <c r="H147" s="364"/>
    </row>
    <row r="148" ht="12.75" customHeight="1">
      <c r="A148" s="364"/>
      <c r="C148" s="364"/>
      <c r="D148" s="364"/>
      <c r="H148" s="364"/>
    </row>
    <row r="149" ht="12.75" customHeight="1">
      <c r="A149" s="364"/>
      <c r="C149" s="364"/>
      <c r="D149" s="364"/>
      <c r="H149" s="364"/>
    </row>
    <row r="150" ht="12.75" customHeight="1">
      <c r="A150" s="364"/>
      <c r="C150" s="364"/>
      <c r="D150" s="364"/>
      <c r="H150" s="364"/>
    </row>
    <row r="151" ht="12.75" customHeight="1">
      <c r="A151" s="364"/>
      <c r="C151" s="364"/>
      <c r="D151" s="364"/>
      <c r="H151" s="364"/>
    </row>
    <row r="152" ht="12.75" customHeight="1">
      <c r="A152" s="364"/>
      <c r="C152" s="364"/>
      <c r="D152" s="364"/>
      <c r="H152" s="364"/>
    </row>
    <row r="153" ht="12.75" customHeight="1">
      <c r="A153" s="364"/>
      <c r="C153" s="364"/>
      <c r="D153" s="364"/>
      <c r="H153" s="364"/>
    </row>
    <row r="154" ht="12.75" customHeight="1">
      <c r="A154" s="364"/>
      <c r="C154" s="364"/>
      <c r="D154" s="364"/>
      <c r="H154" s="364"/>
    </row>
    <row r="155" ht="12.75" customHeight="1">
      <c r="A155" s="364"/>
      <c r="C155" s="364"/>
      <c r="D155" s="364"/>
      <c r="H155" s="364"/>
    </row>
    <row r="156" ht="12.75" customHeight="1">
      <c r="A156" s="364"/>
      <c r="C156" s="364"/>
      <c r="D156" s="364"/>
      <c r="H156" s="364"/>
    </row>
    <row r="157" ht="12.75" customHeight="1">
      <c r="A157" s="364"/>
      <c r="C157" s="364"/>
      <c r="D157" s="364"/>
      <c r="H157" s="364"/>
    </row>
    <row r="158" ht="12.75" customHeight="1">
      <c r="A158" s="364"/>
      <c r="C158" s="364"/>
      <c r="D158" s="364"/>
      <c r="H158" s="364"/>
    </row>
    <row r="159" ht="12.75" customHeight="1">
      <c r="A159" s="364"/>
      <c r="C159" s="364"/>
      <c r="D159" s="364"/>
      <c r="H159" s="364"/>
    </row>
    <row r="160" ht="12.75" customHeight="1">
      <c r="A160" s="364"/>
      <c r="C160" s="364"/>
      <c r="D160" s="364"/>
      <c r="H160" s="364"/>
    </row>
    <row r="161" ht="12.75" customHeight="1">
      <c r="A161" s="364"/>
      <c r="C161" s="364"/>
      <c r="D161" s="364"/>
      <c r="H161" s="364"/>
    </row>
    <row r="162" ht="12.75" customHeight="1">
      <c r="A162" s="364"/>
      <c r="C162" s="364"/>
      <c r="D162" s="364"/>
      <c r="H162" s="364"/>
    </row>
    <row r="163" ht="12.75" customHeight="1">
      <c r="A163" s="364"/>
      <c r="C163" s="364"/>
      <c r="D163" s="364"/>
      <c r="H163" s="364"/>
    </row>
    <row r="164" ht="12.75" customHeight="1">
      <c r="A164" s="364"/>
      <c r="C164" s="364"/>
      <c r="D164" s="364"/>
      <c r="H164" s="364"/>
    </row>
    <row r="165" ht="12.75" customHeight="1">
      <c r="A165" s="364"/>
      <c r="C165" s="364"/>
      <c r="D165" s="364"/>
      <c r="H165" s="364"/>
    </row>
    <row r="166" ht="12.75" customHeight="1">
      <c r="A166" s="364"/>
      <c r="C166" s="364"/>
      <c r="D166" s="364"/>
      <c r="H166" s="364"/>
    </row>
    <row r="167" ht="12.75" customHeight="1">
      <c r="A167" s="364"/>
      <c r="C167" s="364"/>
      <c r="D167" s="364"/>
      <c r="H167" s="364"/>
    </row>
    <row r="168" ht="12.75" customHeight="1">
      <c r="A168" s="364"/>
      <c r="C168" s="364"/>
      <c r="D168" s="364"/>
      <c r="H168" s="364"/>
    </row>
    <row r="169" ht="12.75" customHeight="1">
      <c r="A169" s="364"/>
      <c r="C169" s="364"/>
      <c r="D169" s="364"/>
      <c r="H169" s="364"/>
    </row>
    <row r="170" ht="12.75" customHeight="1">
      <c r="A170" s="364"/>
      <c r="C170" s="364"/>
      <c r="D170" s="364"/>
      <c r="H170" s="364"/>
    </row>
    <row r="171" ht="12.75" customHeight="1">
      <c r="A171" s="364"/>
      <c r="C171" s="364"/>
      <c r="D171" s="364"/>
      <c r="H171" s="364"/>
    </row>
    <row r="172" ht="12.75" customHeight="1">
      <c r="A172" s="364"/>
      <c r="C172" s="364"/>
      <c r="D172" s="364"/>
      <c r="H172" s="364"/>
    </row>
    <row r="173" ht="12.75" customHeight="1">
      <c r="A173" s="364"/>
      <c r="C173" s="364"/>
      <c r="D173" s="364"/>
      <c r="H173" s="364"/>
    </row>
    <row r="174" ht="12.75" customHeight="1">
      <c r="A174" s="364"/>
      <c r="C174" s="364"/>
      <c r="D174" s="364"/>
      <c r="H174" s="364"/>
    </row>
    <row r="175" ht="12.75" customHeight="1">
      <c r="A175" s="364"/>
      <c r="C175" s="364"/>
      <c r="D175" s="364"/>
      <c r="H175" s="364"/>
    </row>
    <row r="176" ht="12.75" customHeight="1">
      <c r="A176" s="364"/>
      <c r="C176" s="364"/>
      <c r="D176" s="364"/>
      <c r="H176" s="364"/>
    </row>
    <row r="177" ht="12.75" customHeight="1">
      <c r="A177" s="364"/>
      <c r="C177" s="364"/>
      <c r="D177" s="364"/>
      <c r="H177" s="364"/>
    </row>
    <row r="178" ht="12.75" customHeight="1">
      <c r="A178" s="364"/>
      <c r="C178" s="364"/>
      <c r="D178" s="364"/>
      <c r="H178" s="364"/>
    </row>
    <row r="179" ht="12.75" customHeight="1">
      <c r="A179" s="364"/>
      <c r="C179" s="364"/>
      <c r="D179" s="364"/>
      <c r="H179" s="364"/>
    </row>
    <row r="180" ht="12.75" customHeight="1">
      <c r="A180" s="364"/>
      <c r="C180" s="364"/>
      <c r="D180" s="364"/>
      <c r="H180" s="364"/>
    </row>
    <row r="181" ht="12.75" customHeight="1">
      <c r="A181" s="364"/>
      <c r="C181" s="364"/>
      <c r="D181" s="364"/>
      <c r="H181" s="364"/>
    </row>
    <row r="182" ht="12.75" customHeight="1">
      <c r="A182" s="364"/>
      <c r="C182" s="364"/>
      <c r="D182" s="364"/>
      <c r="H182" s="364"/>
    </row>
    <row r="183" ht="12.75" customHeight="1">
      <c r="A183" s="364"/>
      <c r="C183" s="364"/>
      <c r="D183" s="364"/>
      <c r="H183" s="364"/>
    </row>
    <row r="184" ht="12.75" customHeight="1">
      <c r="A184" s="364"/>
      <c r="C184" s="364"/>
      <c r="D184" s="364"/>
      <c r="H184" s="364"/>
    </row>
    <row r="185" ht="12.75" customHeight="1">
      <c r="A185" s="364"/>
      <c r="C185" s="364"/>
      <c r="D185" s="364"/>
      <c r="H185" s="364"/>
    </row>
    <row r="186" ht="12.75" customHeight="1">
      <c r="A186" s="364"/>
      <c r="C186" s="364"/>
      <c r="D186" s="364"/>
      <c r="H186" s="364"/>
    </row>
    <row r="187" ht="12.75" customHeight="1">
      <c r="A187" s="364"/>
      <c r="C187" s="364"/>
      <c r="D187" s="364"/>
      <c r="H187" s="364"/>
    </row>
    <row r="188" ht="12.75" customHeight="1">
      <c r="A188" s="364"/>
      <c r="C188" s="364"/>
      <c r="D188" s="364"/>
      <c r="H188" s="364"/>
    </row>
    <row r="189" ht="12.75" customHeight="1">
      <c r="A189" s="364"/>
      <c r="C189" s="364"/>
      <c r="D189" s="364"/>
      <c r="H189" s="364"/>
    </row>
    <row r="190" ht="12.75" customHeight="1">
      <c r="A190" s="364"/>
      <c r="C190" s="364"/>
      <c r="D190" s="364"/>
      <c r="H190" s="364"/>
    </row>
    <row r="191" ht="12.75" customHeight="1">
      <c r="A191" s="364"/>
      <c r="C191" s="364"/>
      <c r="D191" s="364"/>
      <c r="H191" s="364"/>
    </row>
    <row r="192" ht="12.75" customHeight="1">
      <c r="A192" s="364"/>
      <c r="C192" s="364"/>
      <c r="D192" s="364"/>
      <c r="H192" s="364"/>
    </row>
    <row r="193" ht="12.75" customHeight="1">
      <c r="A193" s="364"/>
      <c r="C193" s="364"/>
      <c r="D193" s="364"/>
      <c r="H193" s="364"/>
    </row>
    <row r="194" ht="12.75" customHeight="1">
      <c r="A194" s="364"/>
      <c r="C194" s="364"/>
      <c r="D194" s="364"/>
      <c r="H194" s="364"/>
    </row>
    <row r="195" ht="12.75" customHeight="1">
      <c r="A195" s="364"/>
      <c r="C195" s="364"/>
      <c r="D195" s="364"/>
      <c r="H195" s="364"/>
    </row>
    <row r="196" ht="12.75" customHeight="1">
      <c r="A196" s="364"/>
      <c r="C196" s="364"/>
      <c r="D196" s="364"/>
      <c r="H196" s="364"/>
    </row>
    <row r="197" ht="12.75" customHeight="1">
      <c r="A197" s="364"/>
      <c r="C197" s="364"/>
      <c r="D197" s="364"/>
      <c r="H197" s="364"/>
    </row>
    <row r="198" ht="12.75" customHeight="1">
      <c r="A198" s="364"/>
      <c r="C198" s="364"/>
      <c r="D198" s="364"/>
      <c r="H198" s="364"/>
    </row>
    <row r="199" ht="12.75" customHeight="1">
      <c r="A199" s="364"/>
      <c r="C199" s="364"/>
      <c r="D199" s="364"/>
      <c r="H199" s="364"/>
    </row>
    <row r="200" ht="12.75" customHeight="1">
      <c r="A200" s="364"/>
      <c r="C200" s="364"/>
      <c r="D200" s="364"/>
      <c r="H200" s="364"/>
    </row>
    <row r="201" ht="12.75" customHeight="1">
      <c r="A201" s="364"/>
      <c r="C201" s="364"/>
      <c r="D201" s="364"/>
      <c r="H201" s="364"/>
    </row>
    <row r="202" ht="12.75" customHeight="1">
      <c r="A202" s="364"/>
      <c r="C202" s="364"/>
      <c r="D202" s="364"/>
      <c r="H202" s="364"/>
    </row>
    <row r="203" ht="12.75" customHeight="1">
      <c r="A203" s="364"/>
      <c r="C203" s="364"/>
      <c r="D203" s="364"/>
      <c r="H203" s="364"/>
    </row>
    <row r="204" ht="12.75" customHeight="1">
      <c r="A204" s="364"/>
      <c r="C204" s="364"/>
      <c r="D204" s="364"/>
      <c r="H204" s="364"/>
    </row>
    <row r="205" ht="12.75" customHeight="1">
      <c r="A205" s="364"/>
      <c r="C205" s="364"/>
      <c r="D205" s="364"/>
      <c r="H205" s="364"/>
    </row>
    <row r="206" ht="12.75" customHeight="1">
      <c r="A206" s="364"/>
      <c r="C206" s="364"/>
      <c r="D206" s="364"/>
      <c r="H206" s="364"/>
    </row>
    <row r="207" ht="12.75" customHeight="1">
      <c r="A207" s="364"/>
      <c r="C207" s="364"/>
      <c r="D207" s="364"/>
      <c r="H207" s="364"/>
    </row>
    <row r="208" ht="12.75" customHeight="1">
      <c r="A208" s="364"/>
      <c r="C208" s="364"/>
      <c r="D208" s="364"/>
      <c r="H208" s="364"/>
    </row>
    <row r="209" ht="12.75" customHeight="1">
      <c r="A209" s="364"/>
      <c r="C209" s="364"/>
      <c r="D209" s="364"/>
      <c r="H209" s="364"/>
    </row>
    <row r="210" ht="12.75" customHeight="1">
      <c r="A210" s="364"/>
      <c r="C210" s="364"/>
      <c r="D210" s="364"/>
      <c r="H210" s="364"/>
    </row>
    <row r="211" ht="12.75" customHeight="1">
      <c r="A211" s="364"/>
      <c r="C211" s="364"/>
      <c r="D211" s="364"/>
      <c r="H211" s="364"/>
    </row>
    <row r="212" ht="12.75" customHeight="1">
      <c r="A212" s="364"/>
      <c r="C212" s="364"/>
      <c r="D212" s="364"/>
      <c r="H212" s="364"/>
    </row>
    <row r="213" ht="12.75" customHeight="1">
      <c r="A213" s="364"/>
      <c r="C213" s="364"/>
      <c r="D213" s="364"/>
      <c r="H213" s="364"/>
    </row>
    <row r="214" ht="12.75" customHeight="1">
      <c r="A214" s="364"/>
      <c r="C214" s="364"/>
      <c r="D214" s="364"/>
      <c r="H214" s="364"/>
    </row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7.0"/>
    <col customWidth="1" min="2" max="2" width="10.38"/>
    <col customWidth="1" min="3" max="3" width="10.63"/>
    <col customWidth="1" min="4" max="4" width="10.13"/>
    <col customWidth="1" min="5" max="5" width="11.75"/>
    <col customWidth="1" min="6" max="11" width="7.75"/>
    <col customWidth="1" min="12" max="26" width="11.0"/>
  </cols>
  <sheetData>
    <row r="1" ht="12.75" customHeight="1">
      <c r="A1" s="699" t="s">
        <v>0</v>
      </c>
      <c r="B1" s="366" t="s">
        <v>323</v>
      </c>
      <c r="C1" s="700" t="s">
        <v>324</v>
      </c>
      <c r="D1" s="700" t="s">
        <v>325</v>
      </c>
      <c r="E1" s="701" t="s">
        <v>326</v>
      </c>
      <c r="F1" s="702"/>
      <c r="G1" s="702"/>
      <c r="H1" s="702"/>
      <c r="I1" s="702"/>
      <c r="J1" s="702"/>
      <c r="K1" s="702"/>
    </row>
    <row r="2" ht="12.75" customHeight="1">
      <c r="A2" s="703" t="s">
        <v>122</v>
      </c>
      <c r="B2" s="704">
        <v>9.0</v>
      </c>
      <c r="C2" s="705">
        <v>7.0</v>
      </c>
      <c r="D2" s="705">
        <v>8.0</v>
      </c>
      <c r="E2" s="706">
        <v>3.0</v>
      </c>
      <c r="F2" s="702"/>
      <c r="G2" s="702"/>
      <c r="H2" s="702"/>
      <c r="I2" s="702"/>
      <c r="J2" s="702"/>
      <c r="K2" s="702"/>
    </row>
    <row r="3" ht="12.75" customHeight="1">
      <c r="A3" s="707" t="s">
        <v>260</v>
      </c>
      <c r="B3" s="708">
        <v>2.0</v>
      </c>
      <c r="C3" s="709">
        <v>4.0</v>
      </c>
      <c r="D3" s="709">
        <v>3.0</v>
      </c>
      <c r="E3" s="710">
        <v>8.0</v>
      </c>
      <c r="F3" s="702"/>
      <c r="G3" s="702"/>
      <c r="H3" s="702"/>
      <c r="I3" s="702"/>
      <c r="J3" s="702"/>
      <c r="K3" s="702"/>
    </row>
    <row r="4" ht="12.75" customHeight="1">
      <c r="A4" s="702"/>
      <c r="B4" s="702"/>
      <c r="C4" s="711"/>
      <c r="D4" s="702"/>
      <c r="E4" s="702"/>
      <c r="F4" s="702"/>
      <c r="G4" s="702"/>
      <c r="H4" s="702"/>
      <c r="I4" s="702"/>
      <c r="J4" s="702"/>
      <c r="K4" s="702"/>
    </row>
    <row r="5" ht="12.75" customHeight="1">
      <c r="A5" s="702" t="s">
        <v>327</v>
      </c>
      <c r="B5" s="702"/>
      <c r="C5" s="711"/>
      <c r="D5" s="702"/>
      <c r="E5" s="702"/>
      <c r="F5" s="702"/>
      <c r="G5" s="702"/>
      <c r="H5" s="702"/>
      <c r="I5" s="702"/>
      <c r="J5" s="702"/>
      <c r="K5" s="702"/>
    </row>
    <row r="6" ht="12.75" customHeight="1">
      <c r="A6" s="702"/>
      <c r="B6" s="702"/>
      <c r="C6" s="711"/>
      <c r="D6" s="702"/>
      <c r="E6" s="702"/>
      <c r="F6" s="702"/>
      <c r="G6" s="702"/>
      <c r="H6" s="702"/>
      <c r="I6" s="702"/>
      <c r="J6" s="702"/>
      <c r="K6" s="702"/>
    </row>
    <row r="7" ht="12.75" customHeight="1">
      <c r="A7" s="702"/>
      <c r="B7" s="702"/>
      <c r="C7" s="711"/>
      <c r="D7" s="702"/>
      <c r="E7" s="702"/>
      <c r="F7" s="702"/>
      <c r="G7" s="702"/>
      <c r="H7" s="702"/>
      <c r="I7" s="702"/>
      <c r="J7" s="702"/>
      <c r="K7" s="702"/>
    </row>
    <row r="8" ht="12.75" customHeight="1">
      <c r="A8" s="702"/>
      <c r="B8" s="702"/>
      <c r="C8" s="711"/>
      <c r="D8" s="702"/>
      <c r="E8" s="702"/>
      <c r="F8" s="702"/>
      <c r="G8" s="702"/>
      <c r="H8" s="702"/>
      <c r="I8" s="702"/>
      <c r="J8" s="702"/>
      <c r="K8" s="702"/>
    </row>
    <row r="9" ht="12.75" customHeight="1">
      <c r="A9" s="702"/>
      <c r="B9" s="702"/>
      <c r="C9" s="711"/>
      <c r="D9" s="702"/>
      <c r="E9" s="702"/>
      <c r="F9" s="702"/>
      <c r="G9" s="702"/>
      <c r="H9" s="702"/>
      <c r="I9" s="702"/>
      <c r="J9" s="702"/>
      <c r="K9" s="702"/>
    </row>
    <row r="10" ht="12.75" customHeight="1">
      <c r="A10" s="702"/>
      <c r="B10" s="702"/>
      <c r="C10" s="711"/>
      <c r="D10" s="702"/>
      <c r="E10" s="702"/>
      <c r="F10" s="702"/>
      <c r="G10" s="702"/>
      <c r="H10" s="702"/>
      <c r="I10" s="702"/>
      <c r="J10" s="702"/>
      <c r="K10" s="702"/>
    </row>
    <row r="11" ht="12.75" customHeight="1">
      <c r="A11" s="702"/>
      <c r="B11" s="702"/>
      <c r="C11" s="711"/>
      <c r="D11" s="702"/>
      <c r="E11" s="702"/>
      <c r="F11" s="702"/>
      <c r="G11" s="702"/>
      <c r="H11" s="702"/>
      <c r="I11" s="702"/>
      <c r="J11" s="702"/>
      <c r="K11" s="702"/>
    </row>
    <row r="12" ht="12.75" customHeight="1">
      <c r="A12" s="702"/>
      <c r="B12" s="702"/>
      <c r="C12" s="711"/>
      <c r="D12" s="702"/>
      <c r="E12" s="702"/>
      <c r="F12" s="702"/>
      <c r="G12" s="702"/>
      <c r="H12" s="702"/>
      <c r="I12" s="702"/>
      <c r="J12" s="702"/>
      <c r="K12" s="702"/>
    </row>
    <row r="13" ht="12.75" customHeight="1">
      <c r="A13" s="702"/>
      <c r="B13" s="702"/>
      <c r="C13" s="711"/>
      <c r="D13" s="702"/>
      <c r="E13" s="702"/>
      <c r="F13" s="702"/>
      <c r="G13" s="702"/>
      <c r="H13" s="702"/>
      <c r="I13" s="702"/>
      <c r="J13" s="702"/>
      <c r="K13" s="702"/>
    </row>
    <row r="14" ht="12.75" customHeight="1">
      <c r="A14" s="702"/>
      <c r="B14" s="702"/>
      <c r="C14" s="711"/>
      <c r="D14" s="702"/>
      <c r="E14" s="702"/>
      <c r="F14" s="702"/>
      <c r="G14" s="702"/>
      <c r="H14" s="702"/>
      <c r="I14" s="702"/>
      <c r="J14" s="702"/>
      <c r="K14" s="702"/>
    </row>
    <row r="15" ht="12.75" customHeight="1">
      <c r="A15" s="702"/>
      <c r="B15" s="702"/>
      <c r="C15" s="711"/>
      <c r="D15" s="702"/>
      <c r="E15" s="702"/>
      <c r="F15" s="702"/>
      <c r="G15" s="702"/>
      <c r="H15" s="702"/>
      <c r="I15" s="702"/>
      <c r="J15" s="702"/>
      <c r="K15" s="702"/>
    </row>
    <row r="16" ht="12.75" customHeight="1">
      <c r="A16" s="702"/>
      <c r="B16" s="702"/>
      <c r="C16" s="711"/>
      <c r="D16" s="702"/>
      <c r="E16" s="702"/>
      <c r="F16" s="702"/>
      <c r="G16" s="702"/>
      <c r="H16" s="702"/>
      <c r="I16" s="702"/>
      <c r="J16" s="702"/>
      <c r="K16" s="702"/>
    </row>
    <row r="17" ht="12.75" customHeight="1">
      <c r="A17" s="702"/>
      <c r="B17" s="702"/>
      <c r="C17" s="711"/>
      <c r="D17" s="702"/>
      <c r="E17" s="702"/>
      <c r="F17" s="702"/>
      <c r="G17" s="702"/>
      <c r="H17" s="702"/>
      <c r="I17" s="702"/>
      <c r="J17" s="702"/>
      <c r="K17" s="702"/>
    </row>
    <row r="18" ht="12.75" customHeight="1">
      <c r="A18" s="702"/>
      <c r="B18" s="702"/>
      <c r="C18" s="711"/>
      <c r="D18" s="702"/>
      <c r="E18" s="702"/>
      <c r="F18" s="702"/>
      <c r="G18" s="702"/>
      <c r="H18" s="702"/>
      <c r="I18" s="702"/>
      <c r="J18" s="702"/>
      <c r="K18" s="702"/>
    </row>
    <row r="19" ht="12.75" customHeight="1">
      <c r="A19" s="702"/>
      <c r="B19" s="702"/>
      <c r="C19" s="711"/>
      <c r="D19" s="702"/>
      <c r="E19" s="702"/>
      <c r="F19" s="702"/>
      <c r="G19" s="702"/>
      <c r="H19" s="702"/>
      <c r="I19" s="702"/>
      <c r="J19" s="702"/>
      <c r="K19" s="702"/>
    </row>
    <row r="20" ht="12.75" customHeight="1">
      <c r="A20" s="702"/>
      <c r="B20" s="702"/>
      <c r="C20" s="711"/>
      <c r="D20" s="702"/>
      <c r="E20" s="702"/>
      <c r="F20" s="702"/>
      <c r="G20" s="702"/>
      <c r="H20" s="702"/>
      <c r="I20" s="702"/>
      <c r="J20" s="702"/>
      <c r="K20" s="702"/>
    </row>
    <row r="21" ht="12.75" customHeight="1">
      <c r="A21" s="702"/>
      <c r="B21" s="702"/>
      <c r="C21" s="711"/>
      <c r="D21" s="702"/>
      <c r="E21" s="702"/>
      <c r="F21" s="702"/>
      <c r="G21" s="702"/>
      <c r="H21" s="702"/>
      <c r="I21" s="702"/>
      <c r="J21" s="702"/>
      <c r="K21" s="702"/>
    </row>
    <row r="22" ht="12.75" customHeight="1">
      <c r="A22" s="702"/>
      <c r="B22" s="702"/>
      <c r="C22" s="711"/>
      <c r="D22" s="702"/>
      <c r="E22" s="702"/>
      <c r="F22" s="702"/>
      <c r="G22" s="702"/>
      <c r="H22" s="702"/>
      <c r="I22" s="702"/>
      <c r="J22" s="702"/>
      <c r="K22" s="702"/>
    </row>
    <row r="23" ht="12.75" customHeight="1">
      <c r="A23" s="702"/>
      <c r="B23" s="702"/>
      <c r="C23" s="711"/>
      <c r="D23" s="702"/>
      <c r="E23" s="702"/>
      <c r="F23" s="702"/>
      <c r="G23" s="702"/>
      <c r="H23" s="702"/>
      <c r="I23" s="702"/>
      <c r="J23" s="702"/>
      <c r="K23" s="702"/>
    </row>
    <row r="24" ht="12.75" customHeight="1">
      <c r="A24" s="702"/>
      <c r="B24" s="702"/>
      <c r="C24" s="711"/>
      <c r="D24" s="702"/>
      <c r="E24" s="702"/>
      <c r="F24" s="702"/>
      <c r="G24" s="702"/>
      <c r="H24" s="702"/>
      <c r="I24" s="702"/>
      <c r="J24" s="702"/>
      <c r="K24" s="702"/>
    </row>
    <row r="25" ht="12.75" customHeight="1">
      <c r="A25" s="702"/>
      <c r="B25" s="702"/>
      <c r="C25" s="711"/>
      <c r="D25" s="702"/>
      <c r="E25" s="702"/>
      <c r="F25" s="702"/>
      <c r="G25" s="702"/>
      <c r="H25" s="702"/>
      <c r="I25" s="702"/>
      <c r="J25" s="702"/>
      <c r="K25" s="702"/>
    </row>
    <row r="26" ht="12.75" customHeight="1">
      <c r="A26" s="702"/>
      <c r="B26" s="702"/>
      <c r="C26" s="711"/>
      <c r="D26" s="702"/>
      <c r="E26" s="702"/>
      <c r="F26" s="702"/>
      <c r="G26" s="702"/>
      <c r="H26" s="702"/>
      <c r="I26" s="702"/>
      <c r="J26" s="702"/>
      <c r="K26" s="702"/>
    </row>
    <row r="27" ht="12.75" customHeight="1">
      <c r="A27" s="702"/>
      <c r="B27" s="702"/>
      <c r="C27" s="711"/>
      <c r="D27" s="702"/>
      <c r="E27" s="702"/>
      <c r="F27" s="702"/>
      <c r="G27" s="702"/>
      <c r="H27" s="702"/>
      <c r="I27" s="702"/>
      <c r="J27" s="702"/>
      <c r="K27" s="702"/>
    </row>
    <row r="28" ht="12.75" customHeight="1">
      <c r="A28" s="702"/>
      <c r="B28" s="702"/>
      <c r="C28" s="711"/>
      <c r="D28" s="702"/>
      <c r="E28" s="702"/>
      <c r="F28" s="702"/>
      <c r="G28" s="702"/>
      <c r="H28" s="702"/>
      <c r="I28" s="702"/>
      <c r="J28" s="702"/>
      <c r="K28" s="702"/>
    </row>
    <row r="29" ht="12.75" customHeight="1">
      <c r="A29" s="702"/>
      <c r="B29" s="702"/>
      <c r="C29" s="711"/>
      <c r="D29" s="702"/>
      <c r="E29" s="702"/>
      <c r="F29" s="702"/>
      <c r="G29" s="702"/>
      <c r="H29" s="702"/>
      <c r="I29" s="702"/>
      <c r="J29" s="702"/>
      <c r="K29" s="702"/>
    </row>
    <row r="30" ht="12.75" customHeight="1">
      <c r="A30" s="702"/>
      <c r="B30" s="702"/>
      <c r="C30" s="711"/>
      <c r="D30" s="702"/>
      <c r="E30" s="702"/>
      <c r="F30" s="702"/>
      <c r="G30" s="702"/>
      <c r="H30" s="702"/>
      <c r="I30" s="702"/>
      <c r="J30" s="702"/>
      <c r="K30" s="702"/>
    </row>
    <row r="31" ht="12.75" customHeight="1">
      <c r="A31" s="702"/>
      <c r="B31" s="702"/>
      <c r="C31" s="711"/>
      <c r="D31" s="702"/>
      <c r="E31" s="702"/>
      <c r="F31" s="702"/>
      <c r="G31" s="702"/>
      <c r="H31" s="702"/>
      <c r="I31" s="702"/>
      <c r="J31" s="702"/>
      <c r="K31" s="702"/>
    </row>
    <row r="32" ht="12.75" customHeight="1">
      <c r="A32" s="702"/>
      <c r="B32" s="702"/>
      <c r="C32" s="711"/>
      <c r="D32" s="702"/>
      <c r="E32" s="702"/>
      <c r="F32" s="702"/>
      <c r="G32" s="702"/>
      <c r="H32" s="702"/>
      <c r="I32" s="702"/>
      <c r="J32" s="702"/>
      <c r="K32" s="702"/>
    </row>
    <row r="33" ht="12.75" customHeight="1">
      <c r="A33" s="702"/>
      <c r="B33" s="702"/>
      <c r="C33" s="711"/>
      <c r="D33" s="702"/>
      <c r="E33" s="702"/>
      <c r="F33" s="702"/>
      <c r="G33" s="702"/>
      <c r="H33" s="702"/>
      <c r="I33" s="702"/>
      <c r="J33" s="702"/>
      <c r="K33" s="702"/>
    </row>
    <row r="34" ht="12.75" customHeight="1">
      <c r="A34" s="702"/>
      <c r="B34" s="702"/>
      <c r="C34" s="711"/>
      <c r="D34" s="702"/>
      <c r="E34" s="702"/>
      <c r="F34" s="702"/>
      <c r="G34" s="702"/>
      <c r="H34" s="702"/>
      <c r="I34" s="702"/>
      <c r="J34" s="702"/>
      <c r="K34" s="702"/>
    </row>
    <row r="35" ht="12.75" customHeight="1">
      <c r="A35" s="702"/>
      <c r="B35" s="702"/>
      <c r="C35" s="711"/>
      <c r="D35" s="702"/>
      <c r="E35" s="702"/>
      <c r="F35" s="702"/>
      <c r="G35" s="702"/>
      <c r="H35" s="702"/>
      <c r="I35" s="702"/>
      <c r="J35" s="702"/>
      <c r="K35" s="702"/>
    </row>
    <row r="36" ht="12.75" customHeight="1">
      <c r="A36" s="702"/>
      <c r="B36" s="702"/>
      <c r="C36" s="711"/>
      <c r="D36" s="702"/>
      <c r="E36" s="702"/>
      <c r="F36" s="702"/>
      <c r="G36" s="702"/>
      <c r="H36" s="702"/>
      <c r="I36" s="702"/>
      <c r="J36" s="702"/>
      <c r="K36" s="702"/>
    </row>
    <row r="37" ht="12.75" customHeight="1">
      <c r="A37" s="702"/>
      <c r="B37" s="702"/>
      <c r="C37" s="711"/>
      <c r="D37" s="702"/>
      <c r="E37" s="702"/>
      <c r="F37" s="702"/>
      <c r="G37" s="702"/>
      <c r="H37" s="702"/>
      <c r="I37" s="702"/>
      <c r="J37" s="702"/>
      <c r="K37" s="702"/>
    </row>
    <row r="38" ht="12.75" customHeight="1">
      <c r="A38" s="702"/>
      <c r="B38" s="702"/>
      <c r="C38" s="711"/>
      <c r="D38" s="702"/>
      <c r="E38" s="702"/>
      <c r="F38" s="702"/>
      <c r="G38" s="702"/>
      <c r="H38" s="702"/>
      <c r="I38" s="702"/>
      <c r="J38" s="702"/>
      <c r="K38" s="702"/>
    </row>
    <row r="39" ht="12.75" customHeight="1">
      <c r="A39" s="702"/>
      <c r="B39" s="702"/>
      <c r="C39" s="711"/>
      <c r="D39" s="702"/>
      <c r="E39" s="702"/>
      <c r="F39" s="702"/>
      <c r="G39" s="702"/>
      <c r="H39" s="702"/>
      <c r="I39" s="702"/>
      <c r="J39" s="702"/>
      <c r="K39" s="702"/>
    </row>
    <row r="40" ht="12.75" customHeight="1">
      <c r="A40" s="702"/>
      <c r="B40" s="702"/>
      <c r="C40" s="711"/>
      <c r="D40" s="702"/>
      <c r="E40" s="702"/>
      <c r="F40" s="702"/>
      <c r="G40" s="702"/>
      <c r="H40" s="702"/>
      <c r="I40" s="702"/>
      <c r="J40" s="702"/>
      <c r="K40" s="702"/>
    </row>
    <row r="41" ht="12.75" customHeight="1">
      <c r="A41" s="702"/>
      <c r="B41" s="702"/>
      <c r="C41" s="711"/>
      <c r="D41" s="702"/>
      <c r="E41" s="702"/>
      <c r="F41" s="702"/>
      <c r="G41" s="702"/>
      <c r="H41" s="702"/>
      <c r="I41" s="702"/>
      <c r="J41" s="702"/>
      <c r="K41" s="702"/>
    </row>
    <row r="42" ht="12.75" customHeight="1">
      <c r="A42" s="702"/>
      <c r="B42" s="702"/>
      <c r="C42" s="711"/>
      <c r="D42" s="702"/>
      <c r="E42" s="702"/>
      <c r="F42" s="702"/>
      <c r="G42" s="702"/>
      <c r="H42" s="702"/>
      <c r="I42" s="702"/>
      <c r="J42" s="702"/>
      <c r="K42" s="702"/>
    </row>
    <row r="43" ht="12.75" customHeight="1">
      <c r="A43" s="702"/>
      <c r="B43" s="702"/>
      <c r="C43" s="711"/>
      <c r="D43" s="702"/>
      <c r="E43" s="702"/>
      <c r="F43" s="702"/>
      <c r="G43" s="702"/>
      <c r="H43" s="702"/>
      <c r="I43" s="702"/>
      <c r="J43" s="702"/>
      <c r="K43" s="702"/>
    </row>
    <row r="44" ht="12.75" customHeight="1">
      <c r="A44" s="702"/>
      <c r="B44" s="702"/>
      <c r="C44" s="711"/>
      <c r="D44" s="702"/>
      <c r="E44" s="702"/>
      <c r="F44" s="702"/>
      <c r="G44" s="702"/>
      <c r="H44" s="702"/>
      <c r="I44" s="702"/>
      <c r="J44" s="702"/>
      <c r="K44" s="702"/>
    </row>
    <row r="45" ht="12.75" customHeight="1">
      <c r="A45" s="702"/>
      <c r="B45" s="702"/>
      <c r="C45" s="711"/>
      <c r="D45" s="702"/>
      <c r="E45" s="702"/>
      <c r="F45" s="702"/>
      <c r="G45" s="702"/>
      <c r="H45" s="702"/>
      <c r="I45" s="702"/>
      <c r="J45" s="702"/>
      <c r="K45" s="702"/>
    </row>
    <row r="46" ht="12.75" customHeight="1">
      <c r="A46" s="702"/>
      <c r="B46" s="702"/>
      <c r="C46" s="711"/>
      <c r="D46" s="702"/>
      <c r="E46" s="702"/>
      <c r="F46" s="702"/>
      <c r="G46" s="702"/>
      <c r="H46" s="702"/>
      <c r="I46" s="702"/>
      <c r="J46" s="702"/>
      <c r="K46" s="702"/>
    </row>
    <row r="47" ht="12.75" customHeight="1">
      <c r="A47" s="702"/>
      <c r="B47" s="702"/>
      <c r="C47" s="711"/>
      <c r="D47" s="702"/>
      <c r="E47" s="702"/>
      <c r="F47" s="702"/>
      <c r="G47" s="702"/>
      <c r="H47" s="702"/>
      <c r="I47" s="702"/>
      <c r="J47" s="702"/>
      <c r="K47" s="702"/>
    </row>
    <row r="48" ht="12.75" customHeight="1">
      <c r="A48" s="702"/>
      <c r="B48" s="702"/>
      <c r="C48" s="711"/>
      <c r="D48" s="702"/>
      <c r="E48" s="702"/>
      <c r="F48" s="702"/>
      <c r="G48" s="702"/>
      <c r="H48" s="702"/>
      <c r="I48" s="702"/>
      <c r="J48" s="702"/>
      <c r="K48" s="702"/>
    </row>
    <row r="49" ht="12.75" customHeight="1">
      <c r="A49" s="702"/>
      <c r="B49" s="702"/>
      <c r="C49" s="711"/>
      <c r="D49" s="702"/>
      <c r="E49" s="702"/>
      <c r="F49" s="702"/>
      <c r="G49" s="702"/>
      <c r="H49" s="702"/>
      <c r="I49" s="702"/>
      <c r="J49" s="702"/>
      <c r="K49" s="702"/>
    </row>
    <row r="50" ht="12.75" customHeight="1">
      <c r="A50" s="702"/>
      <c r="B50" s="702"/>
      <c r="C50" s="711"/>
      <c r="D50" s="702"/>
      <c r="E50" s="702"/>
      <c r="F50" s="702"/>
      <c r="G50" s="702"/>
      <c r="H50" s="702"/>
      <c r="I50" s="702"/>
      <c r="J50" s="702"/>
      <c r="K50" s="702"/>
    </row>
    <row r="51" ht="12.75" customHeight="1">
      <c r="A51" s="702"/>
      <c r="B51" s="702"/>
      <c r="C51" s="711"/>
      <c r="D51" s="702"/>
      <c r="E51" s="702"/>
      <c r="F51" s="702"/>
      <c r="G51" s="702"/>
      <c r="H51" s="702"/>
      <c r="I51" s="702"/>
      <c r="J51" s="702"/>
      <c r="K51" s="702"/>
    </row>
    <row r="52" ht="12.75" customHeight="1">
      <c r="A52" s="702"/>
      <c r="B52" s="702"/>
      <c r="C52" s="711"/>
      <c r="D52" s="702"/>
      <c r="E52" s="702"/>
      <c r="F52" s="702"/>
      <c r="G52" s="702"/>
      <c r="H52" s="702"/>
      <c r="I52" s="702"/>
      <c r="J52" s="702"/>
      <c r="K52" s="702"/>
    </row>
    <row r="53" ht="12.75" customHeight="1">
      <c r="A53" s="702"/>
      <c r="B53" s="702"/>
      <c r="C53" s="711"/>
      <c r="D53" s="702"/>
      <c r="E53" s="702"/>
      <c r="F53" s="702"/>
      <c r="G53" s="702"/>
      <c r="H53" s="702"/>
      <c r="I53" s="702"/>
      <c r="J53" s="702"/>
      <c r="K53" s="702"/>
    </row>
    <row r="54" ht="12.75" customHeight="1">
      <c r="A54" s="702"/>
      <c r="B54" s="702"/>
      <c r="C54" s="711"/>
      <c r="D54" s="702"/>
      <c r="E54" s="702"/>
      <c r="F54" s="702"/>
      <c r="G54" s="702"/>
      <c r="H54" s="702"/>
      <c r="I54" s="702"/>
      <c r="J54" s="702"/>
      <c r="K54" s="702"/>
    </row>
    <row r="55" ht="12.75" customHeight="1">
      <c r="A55" s="702"/>
      <c r="B55" s="702"/>
      <c r="C55" s="711"/>
      <c r="D55" s="702"/>
      <c r="E55" s="702"/>
      <c r="F55" s="702"/>
      <c r="G55" s="702"/>
      <c r="H55" s="702"/>
      <c r="I55" s="702"/>
      <c r="J55" s="702"/>
      <c r="K55" s="702"/>
    </row>
    <row r="56" ht="12.75" customHeight="1">
      <c r="A56" s="702"/>
      <c r="B56" s="702"/>
      <c r="C56" s="711"/>
      <c r="D56" s="702"/>
      <c r="E56" s="702"/>
      <c r="F56" s="702"/>
      <c r="G56" s="702"/>
      <c r="H56" s="702"/>
      <c r="I56" s="702"/>
      <c r="J56" s="702"/>
      <c r="K56" s="702"/>
    </row>
    <row r="57" ht="12.75" customHeight="1">
      <c r="A57" s="702"/>
      <c r="B57" s="702"/>
      <c r="C57" s="711"/>
      <c r="D57" s="702"/>
      <c r="E57" s="702"/>
      <c r="F57" s="702"/>
      <c r="G57" s="702"/>
      <c r="H57" s="702"/>
      <c r="I57" s="702"/>
      <c r="J57" s="702"/>
      <c r="K57" s="702"/>
    </row>
    <row r="58" ht="12.75" customHeight="1">
      <c r="A58" s="702"/>
      <c r="B58" s="702"/>
      <c r="C58" s="711"/>
      <c r="D58" s="702"/>
      <c r="E58" s="702"/>
      <c r="F58" s="702"/>
      <c r="G58" s="702"/>
      <c r="H58" s="702"/>
      <c r="I58" s="702"/>
      <c r="J58" s="702"/>
      <c r="K58" s="702"/>
    </row>
    <row r="59" ht="12.75" customHeight="1">
      <c r="A59" s="702"/>
      <c r="B59" s="702"/>
      <c r="C59" s="711"/>
      <c r="D59" s="702"/>
      <c r="E59" s="702"/>
      <c r="F59" s="702"/>
      <c r="G59" s="702"/>
      <c r="H59" s="702"/>
      <c r="I59" s="702"/>
      <c r="J59" s="702"/>
      <c r="K59" s="702"/>
    </row>
    <row r="60" ht="12.75" customHeight="1">
      <c r="A60" s="702"/>
      <c r="B60" s="702"/>
      <c r="C60" s="711"/>
      <c r="D60" s="702"/>
      <c r="E60" s="702"/>
      <c r="F60" s="702"/>
      <c r="G60" s="702"/>
      <c r="H60" s="702"/>
      <c r="I60" s="702"/>
      <c r="J60" s="702"/>
      <c r="K60" s="702"/>
    </row>
    <row r="61" ht="12.75" customHeight="1">
      <c r="A61" s="702"/>
      <c r="B61" s="702"/>
      <c r="C61" s="711"/>
      <c r="D61" s="702"/>
      <c r="E61" s="702"/>
      <c r="F61" s="702"/>
      <c r="G61" s="702"/>
      <c r="H61" s="702"/>
      <c r="I61" s="702"/>
      <c r="J61" s="702"/>
      <c r="K61" s="702"/>
    </row>
    <row r="62" ht="12.75" customHeight="1">
      <c r="A62" s="702"/>
      <c r="B62" s="702"/>
      <c r="C62" s="711"/>
      <c r="D62" s="702"/>
      <c r="E62" s="702"/>
      <c r="F62" s="702"/>
      <c r="G62" s="702"/>
      <c r="H62" s="702"/>
      <c r="I62" s="702"/>
      <c r="J62" s="702"/>
      <c r="K62" s="702"/>
    </row>
    <row r="63" ht="12.75" customHeight="1">
      <c r="A63" s="702"/>
      <c r="B63" s="702"/>
      <c r="C63" s="711"/>
      <c r="D63" s="702"/>
      <c r="E63" s="702"/>
      <c r="F63" s="702"/>
      <c r="G63" s="702"/>
      <c r="H63" s="702"/>
      <c r="I63" s="702"/>
      <c r="J63" s="702"/>
      <c r="K63" s="702"/>
    </row>
    <row r="64" ht="12.75" customHeight="1">
      <c r="A64" s="702"/>
      <c r="B64" s="702"/>
      <c r="C64" s="711"/>
      <c r="D64" s="702"/>
      <c r="E64" s="702"/>
      <c r="F64" s="702"/>
      <c r="G64" s="702"/>
      <c r="H64" s="702"/>
      <c r="I64" s="702"/>
      <c r="J64" s="702"/>
      <c r="K64" s="702"/>
    </row>
    <row r="65" ht="12.75" customHeight="1">
      <c r="A65" s="702"/>
      <c r="B65" s="702"/>
      <c r="C65" s="711"/>
      <c r="D65" s="702"/>
      <c r="E65" s="702"/>
      <c r="F65" s="702"/>
      <c r="G65" s="702"/>
      <c r="H65" s="702"/>
      <c r="I65" s="702"/>
      <c r="J65" s="702"/>
      <c r="K65" s="702"/>
    </row>
    <row r="66" ht="12.75" customHeight="1">
      <c r="A66" s="702"/>
      <c r="B66" s="702"/>
      <c r="C66" s="711"/>
      <c r="D66" s="702"/>
      <c r="E66" s="702"/>
      <c r="F66" s="702"/>
      <c r="G66" s="702"/>
      <c r="H66" s="702"/>
      <c r="I66" s="702"/>
      <c r="J66" s="702"/>
      <c r="K66" s="702"/>
    </row>
    <row r="67" ht="12.75" customHeight="1">
      <c r="A67" s="702"/>
      <c r="B67" s="702"/>
      <c r="C67" s="711"/>
      <c r="D67" s="702"/>
      <c r="E67" s="702"/>
      <c r="F67" s="702"/>
      <c r="G67" s="702"/>
      <c r="H67" s="702"/>
      <c r="I67" s="702"/>
      <c r="J67" s="702"/>
      <c r="K67" s="702"/>
    </row>
    <row r="68" ht="12.75" customHeight="1">
      <c r="A68" s="702"/>
      <c r="B68" s="702"/>
      <c r="C68" s="711"/>
      <c r="D68" s="702"/>
      <c r="E68" s="702"/>
      <c r="F68" s="702"/>
      <c r="G68" s="702"/>
      <c r="H68" s="702"/>
      <c r="I68" s="702"/>
      <c r="J68" s="702"/>
      <c r="K68" s="702"/>
    </row>
    <row r="69" ht="12.75" customHeight="1">
      <c r="A69" s="702"/>
      <c r="B69" s="702"/>
      <c r="C69" s="711"/>
      <c r="D69" s="702"/>
      <c r="E69" s="702"/>
      <c r="F69" s="702"/>
      <c r="G69" s="702"/>
      <c r="H69" s="702"/>
      <c r="I69" s="702"/>
      <c r="J69" s="702"/>
      <c r="K69" s="702"/>
    </row>
    <row r="70" ht="12.75" customHeight="1">
      <c r="A70" s="702"/>
      <c r="B70" s="702"/>
      <c r="C70" s="711"/>
      <c r="D70" s="702"/>
      <c r="E70" s="702"/>
      <c r="F70" s="702"/>
      <c r="G70" s="702"/>
      <c r="H70" s="702"/>
      <c r="I70" s="702"/>
      <c r="J70" s="702"/>
      <c r="K70" s="702"/>
    </row>
    <row r="71" ht="12.75" customHeight="1">
      <c r="A71" s="702"/>
      <c r="B71" s="702"/>
      <c r="C71" s="711"/>
      <c r="D71" s="702"/>
      <c r="E71" s="702"/>
      <c r="F71" s="702"/>
      <c r="G71" s="702"/>
      <c r="H71" s="702"/>
      <c r="I71" s="702"/>
      <c r="J71" s="702"/>
      <c r="K71" s="702"/>
    </row>
    <row r="72" ht="12.75" customHeight="1">
      <c r="A72" s="702"/>
      <c r="B72" s="702"/>
      <c r="C72" s="711"/>
      <c r="D72" s="702"/>
      <c r="E72" s="702"/>
      <c r="F72" s="702"/>
      <c r="G72" s="702"/>
      <c r="H72" s="702"/>
      <c r="I72" s="702"/>
      <c r="J72" s="702"/>
      <c r="K72" s="702"/>
    </row>
    <row r="73" ht="12.75" customHeight="1">
      <c r="A73" s="702"/>
      <c r="B73" s="702"/>
      <c r="C73" s="711"/>
      <c r="D73" s="702"/>
      <c r="E73" s="702"/>
      <c r="F73" s="702"/>
      <c r="G73" s="702"/>
      <c r="H73" s="702"/>
      <c r="I73" s="702"/>
      <c r="J73" s="702"/>
      <c r="K73" s="702"/>
    </row>
    <row r="74" ht="12.75" customHeight="1">
      <c r="A74" s="702"/>
      <c r="B74" s="702"/>
      <c r="C74" s="711"/>
      <c r="D74" s="702"/>
      <c r="E74" s="702"/>
      <c r="F74" s="702"/>
      <c r="G74" s="702"/>
      <c r="H74" s="702"/>
      <c r="I74" s="702"/>
      <c r="J74" s="702"/>
      <c r="K74" s="702"/>
    </row>
    <row r="75" ht="12.75" customHeight="1">
      <c r="A75" s="702"/>
      <c r="B75" s="702"/>
      <c r="C75" s="711"/>
      <c r="D75" s="702"/>
      <c r="E75" s="702"/>
      <c r="F75" s="702"/>
      <c r="G75" s="702"/>
      <c r="H75" s="702"/>
      <c r="I75" s="702"/>
      <c r="J75" s="702"/>
      <c r="K75" s="702"/>
    </row>
    <row r="76" ht="12.75" customHeight="1">
      <c r="A76" s="702"/>
      <c r="B76" s="702"/>
      <c r="C76" s="711"/>
      <c r="D76" s="702"/>
      <c r="E76" s="702"/>
      <c r="F76" s="702"/>
      <c r="G76" s="702"/>
      <c r="H76" s="702"/>
      <c r="I76" s="702"/>
      <c r="J76" s="702"/>
      <c r="K76" s="702"/>
    </row>
    <row r="77" ht="12.75" customHeight="1">
      <c r="A77" s="702"/>
      <c r="B77" s="702"/>
      <c r="C77" s="711"/>
      <c r="D77" s="702"/>
      <c r="E77" s="702"/>
      <c r="F77" s="702"/>
      <c r="G77" s="702"/>
      <c r="H77" s="702"/>
      <c r="I77" s="702"/>
      <c r="J77" s="702"/>
      <c r="K77" s="702"/>
    </row>
    <row r="78" ht="12.75" customHeight="1">
      <c r="A78" s="702"/>
      <c r="B78" s="702"/>
      <c r="C78" s="711"/>
      <c r="D78" s="702"/>
      <c r="E78" s="702"/>
      <c r="F78" s="702"/>
      <c r="G78" s="702"/>
      <c r="H78" s="702"/>
      <c r="I78" s="702"/>
      <c r="J78" s="702"/>
      <c r="K78" s="702"/>
    </row>
    <row r="79" ht="12.75" customHeight="1">
      <c r="A79" s="702"/>
      <c r="B79" s="702"/>
      <c r="C79" s="711"/>
      <c r="D79" s="702"/>
      <c r="E79" s="702"/>
      <c r="F79" s="702"/>
      <c r="G79" s="702"/>
      <c r="H79" s="702"/>
      <c r="I79" s="702"/>
      <c r="J79" s="702"/>
      <c r="K79" s="702"/>
    </row>
    <row r="80" ht="12.75" customHeight="1">
      <c r="A80" s="702"/>
      <c r="B80" s="702"/>
      <c r="C80" s="711"/>
      <c r="D80" s="702"/>
      <c r="E80" s="702"/>
      <c r="F80" s="702"/>
      <c r="G80" s="702"/>
      <c r="H80" s="702"/>
      <c r="I80" s="702"/>
      <c r="J80" s="702"/>
      <c r="K80" s="702"/>
    </row>
    <row r="81" ht="12.75" customHeight="1">
      <c r="A81" s="702"/>
      <c r="B81" s="702"/>
      <c r="C81" s="711"/>
      <c r="D81" s="702"/>
      <c r="E81" s="702"/>
      <c r="F81" s="702"/>
      <c r="G81" s="702"/>
      <c r="H81" s="702"/>
      <c r="I81" s="702"/>
      <c r="J81" s="702"/>
      <c r="K81" s="702"/>
    </row>
    <row r="82" ht="12.75" customHeight="1">
      <c r="A82" s="702"/>
      <c r="B82" s="702"/>
      <c r="C82" s="711"/>
      <c r="D82" s="702"/>
      <c r="E82" s="702"/>
      <c r="F82" s="702"/>
      <c r="G82" s="702"/>
      <c r="H82" s="702"/>
      <c r="I82" s="702"/>
      <c r="J82" s="702"/>
      <c r="K82" s="702"/>
    </row>
    <row r="83" ht="12.75" customHeight="1">
      <c r="A83" s="702"/>
      <c r="B83" s="702"/>
      <c r="C83" s="711"/>
      <c r="D83" s="702"/>
      <c r="E83" s="702"/>
      <c r="F83" s="702"/>
      <c r="G83" s="702"/>
      <c r="H83" s="702"/>
      <c r="I83" s="702"/>
      <c r="J83" s="702"/>
      <c r="K83" s="702"/>
    </row>
    <row r="84" ht="12.75" customHeight="1">
      <c r="A84" s="702"/>
      <c r="B84" s="702"/>
      <c r="C84" s="711"/>
      <c r="D84" s="702"/>
      <c r="E84" s="702"/>
      <c r="F84" s="702"/>
      <c r="G84" s="702"/>
      <c r="H84" s="702"/>
      <c r="I84" s="702"/>
      <c r="J84" s="702"/>
      <c r="K84" s="702"/>
    </row>
    <row r="85" ht="12.75" customHeight="1">
      <c r="A85" s="702"/>
      <c r="B85" s="702"/>
      <c r="C85" s="711"/>
      <c r="D85" s="702"/>
      <c r="E85" s="702"/>
      <c r="F85" s="702"/>
      <c r="G85" s="702"/>
      <c r="H85" s="702"/>
      <c r="I85" s="702"/>
      <c r="J85" s="702"/>
      <c r="K85" s="702"/>
    </row>
    <row r="86" ht="12.75" customHeight="1">
      <c r="A86" s="702"/>
      <c r="B86" s="702"/>
      <c r="C86" s="711"/>
      <c r="D86" s="702"/>
      <c r="E86" s="702"/>
      <c r="F86" s="702"/>
      <c r="G86" s="702"/>
      <c r="H86" s="702"/>
      <c r="I86" s="702"/>
      <c r="J86" s="702"/>
      <c r="K86" s="702"/>
    </row>
    <row r="87" ht="12.75" customHeight="1">
      <c r="A87" s="702"/>
      <c r="B87" s="702"/>
      <c r="C87" s="711"/>
      <c r="D87" s="702"/>
      <c r="E87" s="702"/>
      <c r="F87" s="702"/>
      <c r="G87" s="702"/>
      <c r="H87" s="702"/>
      <c r="I87" s="702"/>
      <c r="J87" s="702"/>
      <c r="K87" s="702"/>
    </row>
    <row r="88" ht="12.75" customHeight="1">
      <c r="A88" s="702"/>
      <c r="B88" s="702"/>
      <c r="C88" s="711"/>
      <c r="D88" s="702"/>
      <c r="E88" s="702"/>
      <c r="F88" s="702"/>
      <c r="G88" s="702"/>
      <c r="H88" s="702"/>
      <c r="I88" s="702"/>
      <c r="J88" s="702"/>
      <c r="K88" s="702"/>
    </row>
    <row r="89" ht="12.75" customHeight="1">
      <c r="A89" s="702"/>
      <c r="B89" s="702"/>
      <c r="C89" s="711"/>
      <c r="D89" s="702"/>
      <c r="E89" s="702"/>
      <c r="F89" s="702"/>
      <c r="G89" s="702"/>
      <c r="H89" s="702"/>
      <c r="I89" s="702"/>
      <c r="J89" s="702"/>
      <c r="K89" s="702"/>
    </row>
    <row r="90" ht="12.75" customHeight="1">
      <c r="A90" s="702"/>
      <c r="B90" s="702"/>
      <c r="C90" s="711"/>
      <c r="D90" s="702"/>
      <c r="E90" s="702"/>
      <c r="F90" s="702"/>
      <c r="G90" s="702"/>
      <c r="H90" s="702"/>
      <c r="I90" s="702"/>
      <c r="J90" s="702"/>
      <c r="K90" s="702"/>
    </row>
    <row r="91" ht="12.75" customHeight="1">
      <c r="A91" s="702"/>
      <c r="B91" s="702"/>
      <c r="C91" s="711"/>
      <c r="D91" s="702"/>
      <c r="E91" s="702"/>
      <c r="F91" s="702"/>
      <c r="G91" s="702"/>
      <c r="H91" s="702"/>
      <c r="I91" s="702"/>
      <c r="J91" s="702"/>
      <c r="K91" s="702"/>
    </row>
    <row r="92" ht="12.75" customHeight="1">
      <c r="A92" s="702"/>
      <c r="B92" s="702"/>
      <c r="C92" s="711"/>
      <c r="D92" s="702"/>
      <c r="E92" s="702"/>
      <c r="F92" s="702"/>
      <c r="G92" s="702"/>
      <c r="H92" s="702"/>
      <c r="I92" s="702"/>
      <c r="J92" s="702"/>
      <c r="K92" s="702"/>
    </row>
    <row r="93" ht="12.75" customHeight="1">
      <c r="A93" s="702"/>
      <c r="B93" s="702"/>
      <c r="C93" s="711"/>
      <c r="D93" s="702"/>
      <c r="E93" s="702"/>
      <c r="F93" s="702"/>
      <c r="G93" s="702"/>
      <c r="H93" s="702"/>
      <c r="I93" s="702"/>
      <c r="J93" s="702"/>
      <c r="K93" s="702"/>
    </row>
    <row r="94" ht="12.75" customHeight="1">
      <c r="A94" s="702"/>
      <c r="B94" s="702"/>
      <c r="C94" s="711"/>
      <c r="D94" s="702"/>
      <c r="E94" s="702"/>
      <c r="F94" s="702"/>
      <c r="G94" s="702"/>
      <c r="H94" s="702"/>
      <c r="I94" s="702"/>
      <c r="J94" s="702"/>
      <c r="K94" s="702"/>
    </row>
    <row r="95" ht="12.75" customHeight="1">
      <c r="A95" s="702"/>
      <c r="B95" s="702"/>
      <c r="C95" s="711"/>
      <c r="D95" s="702"/>
      <c r="E95" s="702"/>
      <c r="F95" s="702"/>
      <c r="G95" s="702"/>
      <c r="H95" s="702"/>
      <c r="I95" s="702"/>
      <c r="J95" s="702"/>
      <c r="K95" s="702"/>
    </row>
    <row r="96" ht="12.75" customHeight="1">
      <c r="A96" s="702"/>
      <c r="B96" s="702"/>
      <c r="C96" s="711"/>
      <c r="D96" s="702"/>
      <c r="E96" s="702"/>
      <c r="F96" s="702"/>
      <c r="G96" s="702"/>
      <c r="H96" s="702"/>
      <c r="I96" s="702"/>
      <c r="J96" s="702"/>
      <c r="K96" s="702"/>
    </row>
    <row r="97" ht="12.75" customHeight="1">
      <c r="A97" s="702"/>
      <c r="B97" s="702"/>
      <c r="C97" s="711"/>
      <c r="D97" s="702"/>
      <c r="E97" s="702"/>
      <c r="F97" s="702"/>
      <c r="G97" s="702"/>
      <c r="H97" s="702"/>
      <c r="I97" s="702"/>
      <c r="J97" s="702"/>
      <c r="K97" s="702"/>
    </row>
    <row r="98" ht="12.75" customHeight="1">
      <c r="A98" s="702"/>
      <c r="B98" s="702"/>
      <c r="C98" s="711"/>
      <c r="D98" s="702"/>
      <c r="E98" s="702"/>
      <c r="F98" s="702"/>
      <c r="G98" s="702"/>
      <c r="H98" s="702"/>
      <c r="I98" s="702"/>
      <c r="J98" s="702"/>
      <c r="K98" s="702"/>
    </row>
    <row r="99" ht="12.75" customHeight="1">
      <c r="A99" s="702"/>
      <c r="B99" s="702"/>
      <c r="C99" s="711"/>
      <c r="D99" s="702"/>
      <c r="E99" s="702"/>
      <c r="F99" s="702"/>
      <c r="G99" s="702"/>
      <c r="H99" s="702"/>
      <c r="I99" s="702"/>
      <c r="J99" s="702"/>
      <c r="K99" s="702"/>
    </row>
    <row r="100" ht="12.75" customHeight="1">
      <c r="A100" s="702"/>
      <c r="B100" s="702"/>
      <c r="C100" s="711"/>
      <c r="D100" s="702"/>
      <c r="E100" s="702"/>
      <c r="F100" s="702"/>
      <c r="G100" s="702"/>
      <c r="H100" s="702"/>
      <c r="I100" s="702"/>
      <c r="J100" s="702"/>
      <c r="K100" s="702"/>
    </row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7.0"/>
    <col customWidth="1" min="2" max="2" width="7.88"/>
    <col customWidth="1" min="3" max="6" width="7.75"/>
    <col customWidth="1" min="7" max="26" width="11.0"/>
  </cols>
  <sheetData>
    <row r="1" ht="12.75" customHeight="1">
      <c r="A1" s="712" t="s">
        <v>0</v>
      </c>
      <c r="B1" s="713">
        <v>50.0</v>
      </c>
      <c r="C1" s="714" t="s">
        <v>328</v>
      </c>
      <c r="D1" s="713" t="s">
        <v>329</v>
      </c>
      <c r="E1" s="714" t="s">
        <v>330</v>
      </c>
    </row>
    <row r="2" ht="12.75" customHeight="1">
      <c r="A2" s="715" t="s">
        <v>36</v>
      </c>
      <c r="B2" s="716" t="s">
        <v>122</v>
      </c>
      <c r="C2" s="717" t="s">
        <v>260</v>
      </c>
      <c r="D2" s="718" t="s">
        <v>260</v>
      </c>
      <c r="E2" s="719" t="s">
        <v>122</v>
      </c>
    </row>
    <row r="3" ht="12.75" customHeight="1">
      <c r="A3" s="720" t="s">
        <v>35</v>
      </c>
      <c r="B3" s="721" t="s">
        <v>122</v>
      </c>
      <c r="C3" s="722" t="s">
        <v>122</v>
      </c>
      <c r="D3" s="723" t="s">
        <v>260</v>
      </c>
      <c r="E3" s="724" t="s">
        <v>260</v>
      </c>
    </row>
    <row r="4" ht="12.75" customHeight="1">
      <c r="A4" s="720" t="s">
        <v>47</v>
      </c>
      <c r="B4" s="721" t="s">
        <v>122</v>
      </c>
      <c r="C4" s="722" t="s">
        <v>122</v>
      </c>
      <c r="D4" s="723" t="s">
        <v>260</v>
      </c>
      <c r="E4" s="724" t="s">
        <v>260</v>
      </c>
    </row>
    <row r="5" ht="12.75" customHeight="1">
      <c r="A5" s="720" t="s">
        <v>33</v>
      </c>
      <c r="B5" s="721" t="s">
        <v>122</v>
      </c>
      <c r="C5" s="725" t="s">
        <v>260</v>
      </c>
      <c r="D5" s="723" t="s">
        <v>260</v>
      </c>
      <c r="E5" s="726" t="s">
        <v>122</v>
      </c>
    </row>
    <row r="6" ht="12.75" customHeight="1">
      <c r="A6" s="720" t="s">
        <v>43</v>
      </c>
      <c r="B6" s="721" t="s">
        <v>122</v>
      </c>
      <c r="C6" s="725" t="s">
        <v>260</v>
      </c>
      <c r="D6" s="723" t="s">
        <v>260</v>
      </c>
      <c r="E6" s="726" t="s">
        <v>122</v>
      </c>
    </row>
    <row r="7" ht="12.75" customHeight="1">
      <c r="A7" s="720" t="s">
        <v>42</v>
      </c>
      <c r="B7" s="721" t="s">
        <v>122</v>
      </c>
      <c r="C7" s="722" t="s">
        <v>122</v>
      </c>
      <c r="D7" s="723" t="s">
        <v>260</v>
      </c>
      <c r="E7" s="724" t="s">
        <v>260</v>
      </c>
    </row>
    <row r="8" ht="12.75" customHeight="1">
      <c r="A8" s="720" t="s">
        <v>38</v>
      </c>
      <c r="B8" s="721" t="s">
        <v>122</v>
      </c>
      <c r="C8" s="725" t="s">
        <v>260</v>
      </c>
      <c r="D8" s="723" t="s">
        <v>260</v>
      </c>
      <c r="E8" s="726" t="s">
        <v>122</v>
      </c>
    </row>
    <row r="9" ht="12.75" customHeight="1">
      <c r="A9" s="720" t="s">
        <v>31</v>
      </c>
      <c r="B9" s="721" t="s">
        <v>122</v>
      </c>
      <c r="C9" s="725" t="s">
        <v>260</v>
      </c>
      <c r="D9" s="723" t="s">
        <v>260</v>
      </c>
      <c r="E9" s="726" t="s">
        <v>122</v>
      </c>
    </row>
    <row r="10" ht="12.75" customHeight="1">
      <c r="A10" s="720" t="s">
        <v>37</v>
      </c>
      <c r="B10" s="721" t="s">
        <v>122</v>
      </c>
      <c r="C10" s="725" t="s">
        <v>260</v>
      </c>
      <c r="D10" s="722" t="s">
        <v>122</v>
      </c>
      <c r="E10" s="724" t="s">
        <v>260</v>
      </c>
    </row>
    <row r="11" ht="12.75" customHeight="1">
      <c r="A11" s="720" t="s">
        <v>34</v>
      </c>
      <c r="B11" s="721" t="s">
        <v>122</v>
      </c>
      <c r="C11" s="725" t="s">
        <v>260</v>
      </c>
      <c r="D11" s="723" t="s">
        <v>260</v>
      </c>
      <c r="E11" s="726" t="s">
        <v>122</v>
      </c>
    </row>
    <row r="12" ht="12.75" customHeight="1">
      <c r="A12" s="727" t="s">
        <v>39</v>
      </c>
      <c r="B12" s="723" t="s">
        <v>260</v>
      </c>
      <c r="C12" s="728"/>
      <c r="D12" s="729"/>
      <c r="E12" s="730"/>
    </row>
    <row r="13" ht="12.75" customHeight="1">
      <c r="A13" s="731" t="s">
        <v>30</v>
      </c>
      <c r="B13" s="732" t="s">
        <v>122</v>
      </c>
      <c r="C13" s="733" t="s">
        <v>260</v>
      </c>
      <c r="D13" s="734" t="s">
        <v>260</v>
      </c>
      <c r="E13" s="735" t="s">
        <v>122</v>
      </c>
    </row>
    <row r="14" ht="12.75" customHeight="1"/>
    <row r="15" ht="12.75" customHeight="1">
      <c r="A15" s="712"/>
      <c r="B15" s="713" t="s">
        <v>331</v>
      </c>
      <c r="C15" s="714" t="s">
        <v>332</v>
      </c>
      <c r="D15" s="713" t="s">
        <v>333</v>
      </c>
      <c r="E15" s="714" t="s">
        <v>79</v>
      </c>
    </row>
    <row r="16" ht="12.75" customHeight="1">
      <c r="A16" s="736" t="s">
        <v>202</v>
      </c>
      <c r="B16" s="737">
        <v>10.0</v>
      </c>
      <c r="C16" s="738">
        <v>20.0</v>
      </c>
      <c r="D16" s="737">
        <v>50.0</v>
      </c>
      <c r="E16" s="739">
        <v>100.0</v>
      </c>
    </row>
    <row r="17" ht="12.75" customHeight="1">
      <c r="A17" s="740" t="s">
        <v>328</v>
      </c>
      <c r="B17" s="729">
        <v>15.0</v>
      </c>
      <c r="C17" s="741">
        <v>25.0</v>
      </c>
      <c r="D17" s="729">
        <v>50.0</v>
      </c>
      <c r="E17" s="742">
        <v>110.0</v>
      </c>
      <c r="F17" s="555">
        <v>3.0</v>
      </c>
    </row>
    <row r="18" ht="12.75" customHeight="1">
      <c r="A18" s="740" t="s">
        <v>329</v>
      </c>
      <c r="B18" s="729">
        <v>15.0</v>
      </c>
      <c r="C18" s="741">
        <v>20.0</v>
      </c>
      <c r="D18" s="729">
        <v>50.0</v>
      </c>
      <c r="E18" s="742">
        <v>140.0</v>
      </c>
      <c r="F18" s="555">
        <v>1.0</v>
      </c>
    </row>
    <row r="19" ht="12.75" customHeight="1">
      <c r="A19" s="743" t="s">
        <v>330</v>
      </c>
      <c r="B19" s="744">
        <v>10.0</v>
      </c>
      <c r="C19" s="745">
        <v>25.0</v>
      </c>
      <c r="D19" s="744">
        <v>75.0</v>
      </c>
      <c r="E19" s="746">
        <v>140.0</v>
      </c>
      <c r="F19" s="555">
        <v>7.0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7.0"/>
    <col customWidth="1" min="2" max="2" width="10.88"/>
    <col customWidth="1" min="3" max="3" width="31.38"/>
    <col customWidth="1" min="4" max="4" width="12.13"/>
    <col customWidth="1" min="5" max="5" width="14.38"/>
    <col customWidth="1" min="6" max="6" width="10.63"/>
    <col customWidth="1" min="7" max="7" width="12.13"/>
    <col customWidth="1" min="8" max="26" width="11.0"/>
  </cols>
  <sheetData>
    <row r="1" ht="26.25" customHeight="1">
      <c r="A1" s="747" t="s">
        <v>0</v>
      </c>
      <c r="B1" s="448" t="s">
        <v>334</v>
      </c>
      <c r="C1" s="748" t="s">
        <v>335</v>
      </c>
      <c r="D1" s="749" t="s">
        <v>336</v>
      </c>
      <c r="E1" s="749" t="s">
        <v>337</v>
      </c>
      <c r="F1" s="749" t="s">
        <v>338</v>
      </c>
      <c r="G1" s="750" t="s">
        <v>339</v>
      </c>
    </row>
    <row r="2" ht="33.75" customHeight="1">
      <c r="A2" s="751" t="s">
        <v>36</v>
      </c>
      <c r="B2" s="752" t="s">
        <v>340</v>
      </c>
      <c r="C2" s="753" t="s">
        <v>341</v>
      </c>
      <c r="D2" s="753" t="s">
        <v>342</v>
      </c>
      <c r="E2" s="753" t="s">
        <v>343</v>
      </c>
      <c r="F2" s="753" t="s">
        <v>344</v>
      </c>
      <c r="G2" s="754" t="s">
        <v>345</v>
      </c>
    </row>
    <row r="3" ht="33.75" customHeight="1">
      <c r="A3" s="755" t="s">
        <v>35</v>
      </c>
      <c r="B3" s="756" t="s">
        <v>340</v>
      </c>
      <c r="C3" s="753" t="s">
        <v>341</v>
      </c>
      <c r="D3" s="753" t="s">
        <v>342</v>
      </c>
      <c r="E3" s="753" t="s">
        <v>343</v>
      </c>
      <c r="F3" s="753" t="s">
        <v>344</v>
      </c>
      <c r="G3" s="754" t="s">
        <v>345</v>
      </c>
    </row>
    <row r="4" ht="22.5" customHeight="1">
      <c r="A4" s="755" t="s">
        <v>47</v>
      </c>
      <c r="B4" s="756" t="s">
        <v>340</v>
      </c>
      <c r="C4" s="753" t="s">
        <v>341</v>
      </c>
      <c r="D4" s="753" t="s">
        <v>346</v>
      </c>
      <c r="E4" s="753" t="s">
        <v>347</v>
      </c>
      <c r="F4" s="753" t="s">
        <v>348</v>
      </c>
      <c r="G4" s="754" t="s">
        <v>345</v>
      </c>
    </row>
    <row r="5" ht="33.75" customHeight="1">
      <c r="A5" s="755" t="s">
        <v>33</v>
      </c>
      <c r="B5" s="756" t="s">
        <v>340</v>
      </c>
      <c r="C5" s="753" t="s">
        <v>341</v>
      </c>
      <c r="D5" s="753" t="s">
        <v>342</v>
      </c>
      <c r="E5" s="753" t="s">
        <v>343</v>
      </c>
      <c r="F5" s="753" t="s">
        <v>344</v>
      </c>
      <c r="G5" s="754" t="s">
        <v>345</v>
      </c>
    </row>
    <row r="6" ht="22.5" customHeight="1">
      <c r="A6" s="755" t="s">
        <v>43</v>
      </c>
      <c r="B6" s="756" t="s">
        <v>340</v>
      </c>
      <c r="C6" s="753" t="s">
        <v>341</v>
      </c>
      <c r="D6" s="753" t="s">
        <v>342</v>
      </c>
      <c r="E6" s="753" t="s">
        <v>347</v>
      </c>
      <c r="F6" s="753" t="s">
        <v>348</v>
      </c>
      <c r="G6" s="754" t="s">
        <v>345</v>
      </c>
    </row>
    <row r="7" ht="33.75" customHeight="1">
      <c r="A7" s="755" t="s">
        <v>42</v>
      </c>
      <c r="B7" s="756" t="s">
        <v>340</v>
      </c>
      <c r="C7" s="753" t="s">
        <v>341</v>
      </c>
      <c r="D7" s="753" t="s">
        <v>342</v>
      </c>
      <c r="E7" s="753" t="s">
        <v>343</v>
      </c>
      <c r="F7" s="753" t="s">
        <v>348</v>
      </c>
      <c r="G7" s="754" t="s">
        <v>345</v>
      </c>
    </row>
    <row r="8" ht="33.75" customHeight="1">
      <c r="A8" s="755" t="s">
        <v>38</v>
      </c>
      <c r="B8" s="756" t="s">
        <v>349</v>
      </c>
      <c r="C8" s="753" t="s">
        <v>341</v>
      </c>
      <c r="D8" s="753" t="s">
        <v>342</v>
      </c>
      <c r="E8" s="753" t="s">
        <v>343</v>
      </c>
      <c r="F8" s="753" t="s">
        <v>344</v>
      </c>
      <c r="G8" s="754" t="s">
        <v>350</v>
      </c>
    </row>
    <row r="9" ht="33.75" customHeight="1">
      <c r="A9" s="755" t="s">
        <v>31</v>
      </c>
      <c r="B9" s="756" t="s">
        <v>340</v>
      </c>
      <c r="C9" s="753" t="s">
        <v>341</v>
      </c>
      <c r="D9" s="753" t="s">
        <v>342</v>
      </c>
      <c r="E9" s="753" t="s">
        <v>343</v>
      </c>
      <c r="F9" s="753" t="s">
        <v>344</v>
      </c>
      <c r="G9" s="754" t="s">
        <v>345</v>
      </c>
    </row>
    <row r="10" ht="33.75" customHeight="1">
      <c r="A10" s="755" t="s">
        <v>37</v>
      </c>
      <c r="B10" s="756" t="s">
        <v>340</v>
      </c>
      <c r="C10" s="753" t="s">
        <v>341</v>
      </c>
      <c r="D10" s="753" t="s">
        <v>342</v>
      </c>
      <c r="E10" s="753" t="s">
        <v>343</v>
      </c>
      <c r="F10" s="753" t="s">
        <v>344</v>
      </c>
      <c r="G10" s="754" t="s">
        <v>350</v>
      </c>
    </row>
    <row r="11" ht="33.75" customHeight="1">
      <c r="A11" s="755" t="s">
        <v>34</v>
      </c>
      <c r="B11" s="756" t="s">
        <v>340</v>
      </c>
      <c r="C11" s="753" t="s">
        <v>341</v>
      </c>
      <c r="D11" s="753" t="s">
        <v>346</v>
      </c>
      <c r="E11" s="753" t="s">
        <v>343</v>
      </c>
      <c r="F11" s="753" t="s">
        <v>344</v>
      </c>
      <c r="G11" s="754" t="s">
        <v>350</v>
      </c>
    </row>
    <row r="12" ht="12.0" customHeight="1">
      <c r="A12" s="755" t="s">
        <v>39</v>
      </c>
      <c r="B12" s="756" t="s">
        <v>340</v>
      </c>
      <c r="C12" s="753" t="s">
        <v>341</v>
      </c>
      <c r="D12" s="753" t="s">
        <v>342</v>
      </c>
      <c r="E12" s="753" t="s">
        <v>347</v>
      </c>
      <c r="F12" s="753" t="s">
        <v>348</v>
      </c>
      <c r="G12" s="754" t="s">
        <v>350</v>
      </c>
    </row>
    <row r="13" ht="23.25" customHeight="1">
      <c r="A13" s="757" t="s">
        <v>30</v>
      </c>
      <c r="B13" s="758" t="s">
        <v>340</v>
      </c>
      <c r="C13" s="759" t="s">
        <v>351</v>
      </c>
      <c r="D13" s="759" t="s">
        <v>342</v>
      </c>
      <c r="E13" s="759" t="s">
        <v>347</v>
      </c>
      <c r="F13" s="759" t="s">
        <v>348</v>
      </c>
      <c r="G13" s="760" t="s">
        <v>345</v>
      </c>
    </row>
    <row r="14" ht="12.75" customHeight="1">
      <c r="B14" s="364"/>
      <c r="C14" s="364"/>
      <c r="D14" s="364"/>
      <c r="E14" s="364"/>
      <c r="F14" s="364"/>
      <c r="G14" s="364"/>
    </row>
    <row r="15" ht="12.75" customHeight="1">
      <c r="B15" s="364"/>
      <c r="C15" s="364"/>
      <c r="D15" s="364"/>
      <c r="E15" s="364"/>
      <c r="F15" s="364"/>
      <c r="G15" s="364"/>
    </row>
    <row r="16" ht="12.75" customHeight="1">
      <c r="B16" s="364"/>
      <c r="C16" s="364"/>
      <c r="D16" s="364"/>
      <c r="E16" s="364"/>
      <c r="F16" s="364"/>
      <c r="G16" s="364"/>
    </row>
    <row r="17" ht="12.75" customHeight="1">
      <c r="B17" s="364"/>
      <c r="C17" s="364"/>
      <c r="D17" s="364"/>
      <c r="E17" s="364"/>
      <c r="F17" s="364"/>
      <c r="G17" s="364"/>
    </row>
    <row r="18" ht="12.75" customHeight="1">
      <c r="B18" s="364"/>
      <c r="C18" s="364"/>
      <c r="D18" s="364"/>
      <c r="E18" s="364"/>
      <c r="F18" s="364"/>
      <c r="G18" s="364"/>
    </row>
    <row r="19" ht="12.75" customHeight="1">
      <c r="B19" s="364"/>
      <c r="C19" s="364"/>
      <c r="D19" s="364"/>
      <c r="E19" s="364"/>
      <c r="F19" s="364"/>
      <c r="G19" s="364"/>
    </row>
    <row r="20" ht="12.75" customHeight="1">
      <c r="B20" s="364"/>
      <c r="C20" s="364"/>
      <c r="D20" s="364"/>
      <c r="E20" s="364"/>
      <c r="F20" s="364"/>
      <c r="G20" s="364"/>
    </row>
    <row r="21" ht="12.75" customHeight="1">
      <c r="B21" s="364"/>
      <c r="C21" s="364"/>
      <c r="D21" s="364"/>
      <c r="E21" s="364"/>
      <c r="F21" s="364"/>
      <c r="G21" s="364"/>
    </row>
    <row r="22" ht="12.75" customHeight="1">
      <c r="B22" s="364"/>
      <c r="C22" s="364"/>
      <c r="D22" s="364"/>
      <c r="E22" s="364"/>
      <c r="F22" s="364"/>
      <c r="G22" s="364"/>
    </row>
    <row r="23" ht="12.75" customHeight="1">
      <c r="B23" s="364"/>
      <c r="C23" s="364"/>
      <c r="D23" s="364"/>
      <c r="E23" s="364"/>
      <c r="F23" s="364"/>
      <c r="G23" s="364"/>
    </row>
    <row r="24" ht="12.75" customHeight="1">
      <c r="B24" s="364"/>
      <c r="C24" s="364"/>
      <c r="D24" s="364"/>
      <c r="E24" s="364"/>
      <c r="F24" s="364"/>
      <c r="G24" s="364"/>
    </row>
    <row r="25" ht="12.75" customHeight="1">
      <c r="B25" s="364"/>
      <c r="C25" s="364"/>
      <c r="D25" s="364"/>
      <c r="E25" s="364"/>
      <c r="F25" s="364"/>
      <c r="G25" s="364"/>
    </row>
    <row r="26" ht="12.75" customHeight="1">
      <c r="B26" s="364"/>
      <c r="C26" s="364"/>
      <c r="D26" s="364"/>
      <c r="E26" s="364"/>
      <c r="F26" s="364"/>
      <c r="G26" s="364"/>
    </row>
    <row r="27" ht="12.75" customHeight="1">
      <c r="B27" s="364"/>
      <c r="C27" s="364"/>
      <c r="D27" s="364"/>
      <c r="E27" s="364"/>
      <c r="F27" s="364"/>
      <c r="G27" s="364"/>
    </row>
    <row r="28" ht="12.75" customHeight="1">
      <c r="B28" s="364"/>
      <c r="C28" s="364"/>
      <c r="D28" s="364"/>
      <c r="E28" s="364"/>
      <c r="F28" s="364"/>
      <c r="G28" s="364"/>
    </row>
    <row r="29" ht="12.75" customHeight="1">
      <c r="B29" s="364"/>
      <c r="C29" s="364"/>
      <c r="D29" s="364"/>
      <c r="E29" s="364"/>
      <c r="F29" s="364"/>
      <c r="G29" s="364"/>
    </row>
    <row r="30" ht="12.75" customHeight="1">
      <c r="B30" s="364"/>
      <c r="C30" s="364"/>
      <c r="D30" s="364"/>
      <c r="E30" s="364"/>
      <c r="F30" s="364"/>
      <c r="G30" s="364"/>
    </row>
    <row r="31" ht="12.75" customHeight="1">
      <c r="B31" s="364"/>
      <c r="C31" s="364"/>
      <c r="D31" s="364"/>
      <c r="E31" s="364"/>
      <c r="F31" s="364"/>
      <c r="G31" s="364"/>
    </row>
    <row r="32" ht="12.75" customHeight="1">
      <c r="B32" s="364"/>
      <c r="C32" s="364"/>
      <c r="D32" s="364"/>
      <c r="E32" s="364"/>
      <c r="F32" s="364"/>
      <c r="G32" s="364"/>
    </row>
    <row r="33" ht="12.75" customHeight="1">
      <c r="B33" s="364"/>
      <c r="C33" s="364"/>
      <c r="D33" s="364"/>
      <c r="E33" s="364"/>
      <c r="F33" s="364"/>
      <c r="G33" s="364"/>
    </row>
    <row r="34" ht="12.75" customHeight="1">
      <c r="B34" s="364"/>
      <c r="C34" s="364"/>
      <c r="D34" s="364"/>
      <c r="E34" s="364"/>
      <c r="F34" s="364"/>
      <c r="G34" s="364"/>
    </row>
    <row r="35" ht="12.75" customHeight="1">
      <c r="B35" s="364"/>
      <c r="C35" s="364"/>
      <c r="D35" s="364"/>
      <c r="E35" s="364"/>
      <c r="F35" s="364"/>
      <c r="G35" s="364"/>
    </row>
    <row r="36" ht="12.75" customHeight="1">
      <c r="B36" s="364"/>
      <c r="C36" s="364"/>
      <c r="D36" s="364"/>
      <c r="E36" s="364"/>
      <c r="F36" s="364"/>
      <c r="G36" s="364"/>
    </row>
    <row r="37" ht="12.75" customHeight="1">
      <c r="B37" s="364"/>
      <c r="C37" s="364"/>
      <c r="D37" s="364"/>
      <c r="E37" s="364"/>
      <c r="F37" s="364"/>
      <c r="G37" s="364"/>
    </row>
    <row r="38" ht="12.75" customHeight="1">
      <c r="B38" s="364"/>
      <c r="C38" s="364"/>
      <c r="D38" s="364"/>
      <c r="E38" s="364"/>
      <c r="F38" s="364"/>
      <c r="G38" s="364"/>
    </row>
    <row r="39" ht="12.75" customHeight="1">
      <c r="B39" s="364"/>
      <c r="C39" s="364"/>
      <c r="D39" s="364"/>
      <c r="E39" s="364"/>
      <c r="F39" s="364"/>
      <c r="G39" s="364"/>
    </row>
    <row r="40" ht="12.75" customHeight="1">
      <c r="B40" s="364"/>
      <c r="C40" s="364"/>
      <c r="D40" s="364"/>
      <c r="E40" s="364"/>
      <c r="F40" s="364"/>
      <c r="G40" s="364"/>
    </row>
    <row r="41" ht="12.75" customHeight="1">
      <c r="B41" s="364"/>
      <c r="C41" s="364"/>
      <c r="D41" s="364"/>
      <c r="E41" s="364"/>
      <c r="F41" s="364"/>
      <c r="G41" s="364"/>
    </row>
    <row r="42" ht="12.75" customHeight="1">
      <c r="B42" s="364"/>
      <c r="C42" s="364"/>
      <c r="D42" s="364"/>
      <c r="E42" s="364"/>
      <c r="F42" s="364"/>
      <c r="G42" s="364"/>
    </row>
    <row r="43" ht="12.75" customHeight="1">
      <c r="B43" s="364"/>
      <c r="C43" s="364"/>
      <c r="D43" s="364"/>
      <c r="E43" s="364"/>
      <c r="F43" s="364"/>
      <c r="G43" s="364"/>
    </row>
    <row r="44" ht="12.75" customHeight="1">
      <c r="B44" s="364"/>
      <c r="C44" s="364"/>
      <c r="D44" s="364"/>
      <c r="E44" s="364"/>
      <c r="F44" s="364"/>
      <c r="G44" s="364"/>
    </row>
    <row r="45" ht="12.75" customHeight="1">
      <c r="B45" s="364"/>
      <c r="C45" s="364"/>
      <c r="D45" s="364"/>
      <c r="E45" s="364"/>
      <c r="F45" s="364"/>
      <c r="G45" s="364"/>
    </row>
    <row r="46" ht="12.75" customHeight="1">
      <c r="B46" s="364"/>
      <c r="C46" s="364"/>
      <c r="D46" s="364"/>
      <c r="E46" s="364"/>
      <c r="F46" s="364"/>
      <c r="G46" s="364"/>
    </row>
    <row r="47" ht="12.75" customHeight="1">
      <c r="B47" s="364"/>
      <c r="C47" s="364"/>
      <c r="D47" s="364"/>
      <c r="E47" s="364"/>
      <c r="F47" s="364"/>
      <c r="G47" s="364"/>
    </row>
    <row r="48" ht="12.75" customHeight="1">
      <c r="B48" s="364"/>
      <c r="C48" s="364"/>
      <c r="D48" s="364"/>
      <c r="E48" s="364"/>
      <c r="F48" s="364"/>
      <c r="G48" s="364"/>
    </row>
    <row r="49" ht="12.75" customHeight="1">
      <c r="B49" s="364"/>
      <c r="C49" s="364"/>
      <c r="D49" s="364"/>
      <c r="E49" s="364"/>
      <c r="F49" s="364"/>
      <c r="G49" s="364"/>
    </row>
    <row r="50" ht="12.75" customHeight="1">
      <c r="B50" s="364"/>
      <c r="C50" s="364"/>
      <c r="D50" s="364"/>
      <c r="E50" s="364"/>
      <c r="F50" s="364"/>
      <c r="G50" s="364"/>
    </row>
    <row r="51" ht="12.75" customHeight="1">
      <c r="B51" s="364"/>
      <c r="C51" s="364"/>
      <c r="D51" s="364"/>
      <c r="E51" s="364"/>
      <c r="F51" s="364"/>
      <c r="G51" s="364"/>
    </row>
    <row r="52" ht="12.75" customHeight="1">
      <c r="B52" s="364"/>
      <c r="C52" s="364"/>
      <c r="D52" s="364"/>
      <c r="E52" s="364"/>
      <c r="F52" s="364"/>
      <c r="G52" s="364"/>
    </row>
    <row r="53" ht="12.75" customHeight="1">
      <c r="B53" s="364"/>
      <c r="C53" s="364"/>
      <c r="D53" s="364"/>
      <c r="E53" s="364"/>
      <c r="F53" s="364"/>
      <c r="G53" s="364"/>
    </row>
    <row r="54" ht="12.75" customHeight="1">
      <c r="B54" s="364"/>
      <c r="C54" s="364"/>
      <c r="D54" s="364"/>
      <c r="E54" s="364"/>
      <c r="F54" s="364"/>
      <c r="G54" s="364"/>
    </row>
    <row r="55" ht="12.75" customHeight="1">
      <c r="B55" s="364"/>
      <c r="C55" s="364"/>
      <c r="D55" s="364"/>
      <c r="E55" s="364"/>
      <c r="F55" s="364"/>
      <c r="G55" s="364"/>
    </row>
    <row r="56" ht="12.75" customHeight="1">
      <c r="B56" s="364"/>
      <c r="C56" s="364"/>
      <c r="D56" s="364"/>
      <c r="E56" s="364"/>
      <c r="F56" s="364"/>
      <c r="G56" s="364"/>
    </row>
    <row r="57" ht="12.75" customHeight="1">
      <c r="B57" s="364"/>
      <c r="C57" s="364"/>
      <c r="D57" s="364"/>
      <c r="E57" s="364"/>
      <c r="F57" s="364"/>
      <c r="G57" s="364"/>
    </row>
    <row r="58" ht="12.75" customHeight="1">
      <c r="B58" s="364"/>
      <c r="C58" s="364"/>
      <c r="D58" s="364"/>
      <c r="E58" s="364"/>
      <c r="F58" s="364"/>
      <c r="G58" s="364"/>
    </row>
    <row r="59" ht="12.75" customHeight="1">
      <c r="B59" s="364"/>
      <c r="C59" s="364"/>
      <c r="D59" s="364"/>
      <c r="E59" s="364"/>
      <c r="F59" s="364"/>
      <c r="G59" s="364"/>
    </row>
    <row r="60" ht="12.75" customHeight="1">
      <c r="B60" s="364"/>
      <c r="C60" s="364"/>
      <c r="D60" s="364"/>
      <c r="E60" s="364"/>
      <c r="F60" s="364"/>
      <c r="G60" s="364"/>
    </row>
    <row r="61" ht="12.75" customHeight="1">
      <c r="B61" s="364"/>
      <c r="C61" s="364"/>
      <c r="D61" s="364"/>
      <c r="E61" s="364"/>
      <c r="F61" s="364"/>
      <c r="G61" s="364"/>
    </row>
    <row r="62" ht="12.75" customHeight="1">
      <c r="B62" s="364"/>
      <c r="C62" s="364"/>
      <c r="D62" s="364"/>
      <c r="E62" s="364"/>
      <c r="F62" s="364"/>
      <c r="G62" s="364"/>
    </row>
    <row r="63" ht="12.75" customHeight="1">
      <c r="B63" s="364"/>
      <c r="C63" s="364"/>
      <c r="D63" s="364"/>
      <c r="E63" s="364"/>
      <c r="F63" s="364"/>
      <c r="G63" s="364"/>
    </row>
    <row r="64" ht="12.75" customHeight="1">
      <c r="B64" s="364"/>
      <c r="C64" s="364"/>
      <c r="D64" s="364"/>
      <c r="E64" s="364"/>
      <c r="F64" s="364"/>
      <c r="G64" s="364"/>
    </row>
    <row r="65" ht="12.75" customHeight="1">
      <c r="B65" s="364"/>
      <c r="C65" s="364"/>
      <c r="D65" s="364"/>
      <c r="E65" s="364"/>
      <c r="F65" s="364"/>
      <c r="G65" s="364"/>
    </row>
    <row r="66" ht="12.75" customHeight="1">
      <c r="B66" s="364"/>
      <c r="C66" s="364"/>
      <c r="D66" s="364"/>
      <c r="E66" s="364"/>
      <c r="F66" s="364"/>
      <c r="G66" s="364"/>
    </row>
    <row r="67" ht="12.75" customHeight="1">
      <c r="B67" s="364"/>
      <c r="C67" s="364"/>
      <c r="D67" s="364"/>
      <c r="E67" s="364"/>
      <c r="F67" s="364"/>
      <c r="G67" s="364"/>
    </row>
    <row r="68" ht="12.75" customHeight="1">
      <c r="B68" s="364"/>
      <c r="C68" s="364"/>
      <c r="D68" s="364"/>
      <c r="E68" s="364"/>
      <c r="F68" s="364"/>
      <c r="G68" s="364"/>
    </row>
    <row r="69" ht="12.75" customHeight="1">
      <c r="B69" s="364"/>
      <c r="C69" s="364"/>
      <c r="D69" s="364"/>
      <c r="E69" s="364"/>
      <c r="F69" s="364"/>
      <c r="G69" s="364"/>
    </row>
    <row r="70" ht="12.75" customHeight="1">
      <c r="B70" s="364"/>
      <c r="C70" s="364"/>
      <c r="D70" s="364"/>
      <c r="E70" s="364"/>
      <c r="F70" s="364"/>
      <c r="G70" s="364"/>
    </row>
    <row r="71" ht="12.75" customHeight="1">
      <c r="B71" s="364"/>
      <c r="C71" s="364"/>
      <c r="D71" s="364"/>
      <c r="E71" s="364"/>
      <c r="F71" s="364"/>
      <c r="G71" s="364"/>
    </row>
    <row r="72" ht="12.75" customHeight="1">
      <c r="B72" s="364"/>
      <c r="C72" s="364"/>
      <c r="D72" s="364"/>
      <c r="E72" s="364"/>
      <c r="F72" s="364"/>
      <c r="G72" s="364"/>
    </row>
    <row r="73" ht="12.75" customHeight="1">
      <c r="B73" s="364"/>
      <c r="C73" s="364"/>
      <c r="D73" s="364"/>
      <c r="E73" s="364"/>
      <c r="F73" s="364"/>
      <c r="G73" s="364"/>
    </row>
    <row r="74" ht="12.75" customHeight="1">
      <c r="B74" s="364"/>
      <c r="C74" s="364"/>
      <c r="D74" s="364"/>
      <c r="E74" s="364"/>
      <c r="F74" s="364"/>
      <c r="G74" s="364"/>
    </row>
    <row r="75" ht="12.75" customHeight="1">
      <c r="B75" s="364"/>
      <c r="C75" s="364"/>
      <c r="D75" s="364"/>
      <c r="E75" s="364"/>
      <c r="F75" s="364"/>
      <c r="G75" s="364"/>
    </row>
    <row r="76" ht="12.75" customHeight="1">
      <c r="B76" s="364"/>
      <c r="C76" s="364"/>
      <c r="D76" s="364"/>
      <c r="E76" s="364"/>
      <c r="F76" s="364"/>
      <c r="G76" s="364"/>
    </row>
    <row r="77" ht="12.75" customHeight="1">
      <c r="B77" s="364"/>
      <c r="C77" s="364"/>
      <c r="D77" s="364"/>
      <c r="E77" s="364"/>
      <c r="F77" s="364"/>
      <c r="G77" s="364"/>
    </row>
    <row r="78" ht="12.75" customHeight="1">
      <c r="B78" s="364"/>
      <c r="C78" s="364"/>
      <c r="D78" s="364"/>
      <c r="E78" s="364"/>
      <c r="F78" s="364"/>
      <c r="G78" s="364"/>
    </row>
    <row r="79" ht="12.75" customHeight="1">
      <c r="B79" s="364"/>
      <c r="C79" s="364"/>
      <c r="D79" s="364"/>
      <c r="E79" s="364"/>
      <c r="F79" s="364"/>
      <c r="G79" s="364"/>
    </row>
    <row r="80" ht="12.75" customHeight="1">
      <c r="B80" s="364"/>
      <c r="C80" s="364"/>
      <c r="D80" s="364"/>
      <c r="E80" s="364"/>
      <c r="F80" s="364"/>
      <c r="G80" s="364"/>
    </row>
    <row r="81" ht="12.75" customHeight="1">
      <c r="B81" s="364"/>
      <c r="C81" s="364"/>
      <c r="D81" s="364"/>
      <c r="E81" s="364"/>
      <c r="F81" s="364"/>
      <c r="G81" s="364"/>
    </row>
    <row r="82" ht="12.75" customHeight="1">
      <c r="B82" s="364"/>
      <c r="C82" s="364"/>
      <c r="D82" s="364"/>
      <c r="E82" s="364"/>
      <c r="F82" s="364"/>
      <c r="G82" s="364"/>
    </row>
    <row r="83" ht="12.75" customHeight="1">
      <c r="B83" s="364"/>
      <c r="C83" s="364"/>
      <c r="D83" s="364"/>
      <c r="E83" s="364"/>
      <c r="F83" s="364"/>
      <c r="G83" s="364"/>
    </row>
    <row r="84" ht="12.75" customHeight="1">
      <c r="B84" s="364"/>
      <c r="C84" s="364"/>
      <c r="D84" s="364"/>
      <c r="E84" s="364"/>
      <c r="F84" s="364"/>
      <c r="G84" s="364"/>
    </row>
    <row r="85" ht="12.75" customHeight="1">
      <c r="B85" s="364"/>
      <c r="C85" s="364"/>
      <c r="D85" s="364"/>
      <c r="E85" s="364"/>
      <c r="F85" s="364"/>
      <c r="G85" s="364"/>
    </row>
    <row r="86" ht="12.75" customHeight="1">
      <c r="B86" s="364"/>
      <c r="C86" s="364"/>
      <c r="D86" s="364"/>
      <c r="E86" s="364"/>
      <c r="F86" s="364"/>
      <c r="G86" s="364"/>
    </row>
    <row r="87" ht="12.75" customHeight="1">
      <c r="B87" s="364"/>
      <c r="C87" s="364"/>
      <c r="D87" s="364"/>
      <c r="E87" s="364"/>
      <c r="F87" s="364"/>
      <c r="G87" s="364"/>
    </row>
    <row r="88" ht="12.75" customHeight="1">
      <c r="B88" s="364"/>
      <c r="C88" s="364"/>
      <c r="D88" s="364"/>
      <c r="E88" s="364"/>
      <c r="F88" s="364"/>
      <c r="G88" s="364"/>
    </row>
    <row r="89" ht="12.75" customHeight="1">
      <c r="B89" s="364"/>
      <c r="C89" s="364"/>
      <c r="D89" s="364"/>
      <c r="E89" s="364"/>
      <c r="F89" s="364"/>
      <c r="G89" s="364"/>
    </row>
    <row r="90" ht="12.75" customHeight="1">
      <c r="B90" s="364"/>
      <c r="C90" s="364"/>
      <c r="D90" s="364"/>
      <c r="E90" s="364"/>
      <c r="F90" s="364"/>
      <c r="G90" s="364"/>
    </row>
    <row r="91" ht="12.75" customHeight="1">
      <c r="B91" s="364"/>
      <c r="C91" s="364"/>
      <c r="D91" s="364"/>
      <c r="E91" s="364"/>
      <c r="F91" s="364"/>
      <c r="G91" s="364"/>
    </row>
    <row r="92" ht="12.75" customHeight="1">
      <c r="B92" s="364"/>
      <c r="C92" s="364"/>
      <c r="D92" s="364"/>
      <c r="E92" s="364"/>
      <c r="F92" s="364"/>
      <c r="G92" s="364"/>
    </row>
    <row r="93" ht="12.75" customHeight="1">
      <c r="B93" s="364"/>
      <c r="C93" s="364"/>
      <c r="D93" s="364"/>
      <c r="E93" s="364"/>
      <c r="F93" s="364"/>
      <c r="G93" s="364"/>
    </row>
    <row r="94" ht="12.75" customHeight="1">
      <c r="B94" s="364"/>
      <c r="C94" s="364"/>
      <c r="D94" s="364"/>
      <c r="E94" s="364"/>
      <c r="F94" s="364"/>
      <c r="G94" s="364"/>
    </row>
    <row r="95" ht="12.75" customHeight="1">
      <c r="B95" s="364"/>
      <c r="C95" s="364"/>
      <c r="D95" s="364"/>
      <c r="E95" s="364"/>
      <c r="F95" s="364"/>
      <c r="G95" s="364"/>
    </row>
    <row r="96" ht="12.75" customHeight="1">
      <c r="B96" s="364"/>
      <c r="C96" s="364"/>
      <c r="D96" s="364"/>
      <c r="E96" s="364"/>
      <c r="F96" s="364"/>
      <c r="G96" s="364"/>
    </row>
    <row r="97" ht="12.75" customHeight="1">
      <c r="B97" s="364"/>
      <c r="C97" s="364"/>
      <c r="D97" s="364"/>
      <c r="E97" s="364"/>
      <c r="F97" s="364"/>
      <c r="G97" s="364"/>
    </row>
    <row r="98" ht="12.75" customHeight="1">
      <c r="B98" s="364"/>
      <c r="C98" s="364"/>
      <c r="D98" s="364"/>
      <c r="E98" s="364"/>
      <c r="F98" s="364"/>
      <c r="G98" s="364"/>
    </row>
    <row r="99" ht="12.75" customHeight="1">
      <c r="B99" s="364"/>
      <c r="C99" s="364"/>
      <c r="D99" s="364"/>
      <c r="E99" s="364"/>
      <c r="F99" s="364"/>
      <c r="G99" s="364"/>
    </row>
    <row r="100" ht="12.75" customHeight="1">
      <c r="B100" s="364"/>
      <c r="C100" s="364"/>
      <c r="D100" s="364"/>
      <c r="E100" s="364"/>
      <c r="F100" s="364"/>
      <c r="G100" s="364"/>
    </row>
    <row r="101" ht="12.75" customHeight="1">
      <c r="B101" s="364"/>
      <c r="C101" s="364"/>
      <c r="D101" s="364"/>
      <c r="E101" s="364"/>
      <c r="F101" s="364"/>
      <c r="G101" s="364"/>
    </row>
    <row r="102" ht="12.75" customHeight="1">
      <c r="B102" s="364"/>
      <c r="C102" s="364"/>
      <c r="D102" s="364"/>
      <c r="E102" s="364"/>
      <c r="F102" s="364"/>
      <c r="G102" s="364"/>
    </row>
    <row r="103" ht="12.75" customHeight="1">
      <c r="B103" s="364"/>
      <c r="C103" s="364"/>
      <c r="D103" s="364"/>
      <c r="E103" s="364"/>
      <c r="F103" s="364"/>
      <c r="G103" s="364"/>
    </row>
    <row r="104" ht="12.75" customHeight="1">
      <c r="B104" s="364"/>
      <c r="C104" s="364"/>
      <c r="D104" s="364"/>
      <c r="E104" s="364"/>
      <c r="F104" s="364"/>
      <c r="G104" s="364"/>
    </row>
    <row r="105" ht="12.75" customHeight="1">
      <c r="B105" s="364"/>
      <c r="C105" s="364"/>
      <c r="D105" s="364"/>
      <c r="E105" s="364"/>
      <c r="F105" s="364"/>
      <c r="G105" s="364"/>
    </row>
    <row r="106" ht="12.75" customHeight="1">
      <c r="B106" s="364"/>
      <c r="C106" s="364"/>
      <c r="D106" s="364"/>
      <c r="E106" s="364"/>
      <c r="F106" s="364"/>
      <c r="G106" s="364"/>
    </row>
    <row r="107" ht="12.75" customHeight="1">
      <c r="B107" s="364"/>
      <c r="C107" s="364"/>
      <c r="D107" s="364"/>
      <c r="E107" s="364"/>
      <c r="F107" s="364"/>
      <c r="G107" s="364"/>
    </row>
    <row r="108" ht="12.75" customHeight="1">
      <c r="B108" s="364"/>
      <c r="C108" s="364"/>
      <c r="D108" s="364"/>
      <c r="E108" s="364"/>
      <c r="F108" s="364"/>
      <c r="G108" s="364"/>
    </row>
    <row r="109" ht="12.75" customHeight="1">
      <c r="B109" s="364"/>
      <c r="C109" s="364"/>
      <c r="D109" s="364"/>
      <c r="E109" s="364"/>
      <c r="F109" s="364"/>
      <c r="G109" s="364"/>
    </row>
    <row r="110" ht="12.75" customHeight="1">
      <c r="B110" s="364"/>
      <c r="C110" s="364"/>
      <c r="D110" s="364"/>
      <c r="E110" s="364"/>
      <c r="F110" s="364"/>
      <c r="G110" s="364"/>
    </row>
    <row r="111" ht="12.75" customHeight="1">
      <c r="B111" s="364"/>
      <c r="C111" s="364"/>
      <c r="D111" s="364"/>
      <c r="E111" s="364"/>
      <c r="F111" s="364"/>
      <c r="G111" s="364"/>
    </row>
    <row r="112" ht="12.75" customHeight="1">
      <c r="B112" s="364"/>
      <c r="C112" s="364"/>
      <c r="D112" s="364"/>
      <c r="E112" s="364"/>
      <c r="F112" s="364"/>
      <c r="G112" s="364"/>
    </row>
    <row r="113" ht="12.75" customHeight="1">
      <c r="B113" s="364"/>
      <c r="C113" s="364"/>
      <c r="D113" s="364"/>
      <c r="E113" s="364"/>
      <c r="F113" s="364"/>
      <c r="G113" s="364"/>
    </row>
    <row r="114" ht="12.75" customHeight="1">
      <c r="B114" s="364"/>
      <c r="C114" s="364"/>
      <c r="D114" s="364"/>
      <c r="E114" s="364"/>
      <c r="F114" s="364"/>
      <c r="G114" s="364"/>
    </row>
    <row r="115" ht="12.75" customHeight="1">
      <c r="B115" s="364"/>
      <c r="C115" s="364"/>
      <c r="D115" s="364"/>
      <c r="E115" s="364"/>
      <c r="F115" s="364"/>
      <c r="G115" s="364"/>
    </row>
    <row r="116" ht="12.75" customHeight="1">
      <c r="B116" s="364"/>
      <c r="C116" s="364"/>
      <c r="D116" s="364"/>
      <c r="E116" s="364"/>
      <c r="F116" s="364"/>
      <c r="G116" s="364"/>
    </row>
    <row r="117" ht="12.75" customHeight="1">
      <c r="B117" s="364"/>
      <c r="C117" s="364"/>
      <c r="D117" s="364"/>
      <c r="E117" s="364"/>
      <c r="F117" s="364"/>
      <c r="G117" s="364"/>
    </row>
    <row r="118" ht="12.75" customHeight="1">
      <c r="B118" s="364"/>
      <c r="C118" s="364"/>
      <c r="D118" s="364"/>
      <c r="E118" s="364"/>
      <c r="F118" s="364"/>
      <c r="G118" s="364"/>
    </row>
    <row r="119" ht="12.75" customHeight="1">
      <c r="B119" s="364"/>
      <c r="C119" s="364"/>
      <c r="D119" s="364"/>
      <c r="E119" s="364"/>
      <c r="F119" s="364"/>
      <c r="G119" s="364"/>
    </row>
    <row r="120" ht="12.75" customHeight="1">
      <c r="B120" s="364"/>
      <c r="C120" s="364"/>
      <c r="D120" s="364"/>
      <c r="E120" s="364"/>
      <c r="F120" s="364"/>
      <c r="G120" s="364"/>
    </row>
    <row r="121" ht="12.75" customHeight="1">
      <c r="B121" s="364"/>
      <c r="C121" s="364"/>
      <c r="D121" s="364"/>
      <c r="E121" s="364"/>
      <c r="F121" s="364"/>
      <c r="G121" s="364"/>
    </row>
    <row r="122" ht="12.75" customHeight="1">
      <c r="B122" s="364"/>
      <c r="C122" s="364"/>
      <c r="D122" s="364"/>
      <c r="E122" s="364"/>
      <c r="F122" s="364"/>
      <c r="G122" s="364"/>
    </row>
    <row r="123" ht="12.75" customHeight="1">
      <c r="B123" s="364"/>
      <c r="C123" s="364"/>
      <c r="D123" s="364"/>
      <c r="E123" s="364"/>
      <c r="F123" s="364"/>
      <c r="G123" s="364"/>
    </row>
    <row r="124" ht="12.75" customHeight="1">
      <c r="B124" s="364"/>
      <c r="C124" s="364"/>
      <c r="D124" s="364"/>
      <c r="E124" s="364"/>
      <c r="F124" s="364"/>
      <c r="G124" s="364"/>
    </row>
    <row r="125" ht="12.75" customHeight="1">
      <c r="B125" s="364"/>
      <c r="C125" s="364"/>
      <c r="D125" s="364"/>
      <c r="E125" s="364"/>
      <c r="F125" s="364"/>
      <c r="G125" s="364"/>
    </row>
    <row r="126" ht="12.75" customHeight="1">
      <c r="B126" s="364"/>
      <c r="C126" s="364"/>
      <c r="D126" s="364"/>
      <c r="E126" s="364"/>
      <c r="F126" s="364"/>
      <c r="G126" s="364"/>
    </row>
    <row r="127" ht="12.75" customHeight="1">
      <c r="B127" s="364"/>
      <c r="C127" s="364"/>
      <c r="D127" s="364"/>
      <c r="E127" s="364"/>
      <c r="F127" s="364"/>
      <c r="G127" s="364"/>
    </row>
    <row r="128" ht="12.75" customHeight="1">
      <c r="B128" s="364"/>
      <c r="C128" s="364"/>
      <c r="D128" s="364"/>
      <c r="E128" s="364"/>
      <c r="F128" s="364"/>
      <c r="G128" s="364"/>
    </row>
    <row r="129" ht="12.75" customHeight="1">
      <c r="B129" s="364"/>
      <c r="C129" s="364"/>
      <c r="D129" s="364"/>
      <c r="E129" s="364"/>
      <c r="F129" s="364"/>
      <c r="G129" s="364"/>
    </row>
    <row r="130" ht="12.75" customHeight="1">
      <c r="B130" s="364"/>
      <c r="C130" s="364"/>
      <c r="D130" s="364"/>
      <c r="E130" s="364"/>
      <c r="F130" s="364"/>
      <c r="G130" s="364"/>
    </row>
    <row r="131" ht="12.75" customHeight="1">
      <c r="B131" s="364"/>
      <c r="C131" s="364"/>
      <c r="D131" s="364"/>
      <c r="E131" s="364"/>
      <c r="F131" s="364"/>
      <c r="G131" s="364"/>
    </row>
    <row r="132" ht="12.75" customHeight="1">
      <c r="B132" s="364"/>
      <c r="C132" s="364"/>
      <c r="D132" s="364"/>
      <c r="E132" s="364"/>
      <c r="F132" s="364"/>
      <c r="G132" s="364"/>
    </row>
    <row r="133" ht="12.75" customHeight="1">
      <c r="B133" s="364"/>
      <c r="C133" s="364"/>
      <c r="D133" s="364"/>
      <c r="E133" s="364"/>
      <c r="F133" s="364"/>
      <c r="G133" s="364"/>
    </row>
    <row r="134" ht="12.75" customHeight="1">
      <c r="B134" s="364"/>
      <c r="C134" s="364"/>
      <c r="D134" s="364"/>
      <c r="E134" s="364"/>
      <c r="F134" s="364"/>
      <c r="G134" s="364"/>
    </row>
    <row r="135" ht="12.75" customHeight="1">
      <c r="B135" s="364"/>
      <c r="C135" s="364"/>
      <c r="D135" s="364"/>
      <c r="E135" s="364"/>
      <c r="F135" s="364"/>
      <c r="G135" s="364"/>
    </row>
    <row r="136" ht="12.75" customHeight="1">
      <c r="B136" s="364"/>
      <c r="C136" s="364"/>
      <c r="D136" s="364"/>
      <c r="E136" s="364"/>
      <c r="F136" s="364"/>
      <c r="G136" s="364"/>
    </row>
    <row r="137" ht="12.75" customHeight="1">
      <c r="B137" s="364"/>
      <c r="C137" s="364"/>
      <c r="D137" s="364"/>
      <c r="E137" s="364"/>
      <c r="F137" s="364"/>
      <c r="G137" s="364"/>
    </row>
    <row r="138" ht="12.75" customHeight="1">
      <c r="B138" s="364"/>
      <c r="C138" s="364"/>
      <c r="D138" s="364"/>
      <c r="E138" s="364"/>
      <c r="F138" s="364"/>
      <c r="G138" s="364"/>
    </row>
    <row r="139" ht="12.75" customHeight="1">
      <c r="B139" s="364"/>
      <c r="C139" s="364"/>
      <c r="D139" s="364"/>
      <c r="E139" s="364"/>
      <c r="F139" s="364"/>
      <c r="G139" s="364"/>
    </row>
    <row r="140" ht="12.75" customHeight="1">
      <c r="B140" s="364"/>
      <c r="C140" s="364"/>
      <c r="D140" s="364"/>
      <c r="E140" s="364"/>
      <c r="F140" s="364"/>
      <c r="G140" s="364"/>
    </row>
    <row r="141" ht="12.75" customHeight="1">
      <c r="B141" s="364"/>
      <c r="C141" s="364"/>
      <c r="D141" s="364"/>
      <c r="E141" s="364"/>
      <c r="F141" s="364"/>
      <c r="G141" s="364"/>
    </row>
    <row r="142" ht="12.75" customHeight="1">
      <c r="B142" s="364"/>
      <c r="C142" s="364"/>
      <c r="D142" s="364"/>
      <c r="E142" s="364"/>
      <c r="F142" s="364"/>
      <c r="G142" s="364"/>
    </row>
    <row r="143" ht="12.75" customHeight="1">
      <c r="B143" s="364"/>
      <c r="C143" s="364"/>
      <c r="D143" s="364"/>
      <c r="E143" s="364"/>
      <c r="F143" s="364"/>
      <c r="G143" s="364"/>
    </row>
    <row r="144" ht="12.75" customHeight="1">
      <c r="B144" s="364"/>
      <c r="C144" s="364"/>
      <c r="D144" s="364"/>
      <c r="E144" s="364"/>
      <c r="F144" s="364"/>
      <c r="G144" s="364"/>
    </row>
    <row r="145" ht="12.75" customHeight="1">
      <c r="B145" s="364"/>
      <c r="C145" s="364"/>
      <c r="D145" s="364"/>
      <c r="E145" s="364"/>
      <c r="F145" s="364"/>
      <c r="G145" s="364"/>
    </row>
    <row r="146" ht="12.75" customHeight="1">
      <c r="B146" s="364"/>
      <c r="C146" s="364"/>
      <c r="D146" s="364"/>
      <c r="E146" s="364"/>
      <c r="F146" s="364"/>
      <c r="G146" s="364"/>
    </row>
    <row r="147" ht="12.75" customHeight="1">
      <c r="B147" s="364"/>
      <c r="C147" s="364"/>
      <c r="D147" s="364"/>
      <c r="E147" s="364"/>
      <c r="F147" s="364"/>
      <c r="G147" s="364"/>
    </row>
    <row r="148" ht="12.75" customHeight="1">
      <c r="B148" s="364"/>
      <c r="C148" s="364"/>
      <c r="D148" s="364"/>
      <c r="E148" s="364"/>
      <c r="F148" s="364"/>
      <c r="G148" s="364"/>
    </row>
    <row r="149" ht="12.75" customHeight="1">
      <c r="B149" s="364"/>
      <c r="C149" s="364"/>
      <c r="D149" s="364"/>
      <c r="E149" s="364"/>
      <c r="F149" s="364"/>
      <c r="G149" s="364"/>
    </row>
    <row r="150" ht="12.75" customHeight="1">
      <c r="B150" s="364"/>
      <c r="C150" s="364"/>
      <c r="D150" s="364"/>
      <c r="E150" s="364"/>
      <c r="F150" s="364"/>
      <c r="G150" s="364"/>
    </row>
    <row r="151" ht="12.75" customHeight="1">
      <c r="B151" s="364"/>
      <c r="C151" s="364"/>
      <c r="D151" s="364"/>
      <c r="E151" s="364"/>
      <c r="F151" s="364"/>
      <c r="G151" s="364"/>
    </row>
    <row r="152" ht="12.75" customHeight="1">
      <c r="B152" s="364"/>
      <c r="C152" s="364"/>
      <c r="D152" s="364"/>
      <c r="E152" s="364"/>
      <c r="F152" s="364"/>
      <c r="G152" s="364"/>
    </row>
    <row r="153" ht="12.75" customHeight="1">
      <c r="B153" s="364"/>
      <c r="C153" s="364"/>
      <c r="D153" s="364"/>
      <c r="E153" s="364"/>
      <c r="F153" s="364"/>
      <c r="G153" s="364"/>
    </row>
    <row r="154" ht="12.75" customHeight="1">
      <c r="B154" s="364"/>
      <c r="C154" s="364"/>
      <c r="D154" s="364"/>
      <c r="E154" s="364"/>
      <c r="F154" s="364"/>
      <c r="G154" s="364"/>
    </row>
    <row r="155" ht="12.75" customHeight="1">
      <c r="B155" s="364"/>
      <c r="C155" s="364"/>
      <c r="D155" s="364"/>
      <c r="E155" s="364"/>
      <c r="F155" s="364"/>
      <c r="G155" s="364"/>
    </row>
    <row r="156" ht="12.75" customHeight="1">
      <c r="B156" s="364"/>
      <c r="C156" s="364"/>
      <c r="D156" s="364"/>
      <c r="E156" s="364"/>
      <c r="F156" s="364"/>
      <c r="G156" s="364"/>
    </row>
    <row r="157" ht="12.75" customHeight="1">
      <c r="B157" s="364"/>
      <c r="C157" s="364"/>
      <c r="D157" s="364"/>
      <c r="E157" s="364"/>
      <c r="F157" s="364"/>
      <c r="G157" s="364"/>
    </row>
    <row r="158" ht="12.75" customHeight="1">
      <c r="B158" s="364"/>
      <c r="C158" s="364"/>
      <c r="D158" s="364"/>
      <c r="E158" s="364"/>
      <c r="F158" s="364"/>
      <c r="G158" s="364"/>
    </row>
    <row r="159" ht="12.75" customHeight="1">
      <c r="B159" s="364"/>
      <c r="C159" s="364"/>
      <c r="D159" s="364"/>
      <c r="E159" s="364"/>
      <c r="F159" s="364"/>
      <c r="G159" s="364"/>
    </row>
    <row r="160" ht="12.75" customHeight="1">
      <c r="B160" s="364"/>
      <c r="C160" s="364"/>
      <c r="D160" s="364"/>
      <c r="E160" s="364"/>
      <c r="F160" s="364"/>
      <c r="G160" s="364"/>
    </row>
    <row r="161" ht="12.75" customHeight="1">
      <c r="B161" s="364"/>
      <c r="C161" s="364"/>
      <c r="D161" s="364"/>
      <c r="E161" s="364"/>
      <c r="F161" s="364"/>
      <c r="G161" s="364"/>
    </row>
    <row r="162" ht="12.75" customHeight="1">
      <c r="B162" s="364"/>
      <c r="C162" s="364"/>
      <c r="D162" s="364"/>
      <c r="E162" s="364"/>
      <c r="F162" s="364"/>
      <c r="G162" s="364"/>
    </row>
    <row r="163" ht="12.75" customHeight="1">
      <c r="B163" s="364"/>
      <c r="C163" s="364"/>
      <c r="D163" s="364"/>
      <c r="E163" s="364"/>
      <c r="F163" s="364"/>
      <c r="G163" s="364"/>
    </row>
    <row r="164" ht="12.75" customHeight="1">
      <c r="B164" s="364"/>
      <c r="C164" s="364"/>
      <c r="D164" s="364"/>
      <c r="E164" s="364"/>
      <c r="F164" s="364"/>
      <c r="G164" s="364"/>
    </row>
    <row r="165" ht="12.75" customHeight="1">
      <c r="B165" s="364"/>
      <c r="C165" s="364"/>
      <c r="D165" s="364"/>
      <c r="E165" s="364"/>
      <c r="F165" s="364"/>
      <c r="G165" s="364"/>
    </row>
    <row r="166" ht="12.75" customHeight="1">
      <c r="B166" s="364"/>
      <c r="C166" s="364"/>
      <c r="D166" s="364"/>
      <c r="E166" s="364"/>
      <c r="F166" s="364"/>
      <c r="G166" s="364"/>
    </row>
    <row r="167" ht="12.75" customHeight="1">
      <c r="B167" s="364"/>
      <c r="C167" s="364"/>
      <c r="D167" s="364"/>
      <c r="E167" s="364"/>
      <c r="F167" s="364"/>
      <c r="G167" s="364"/>
    </row>
    <row r="168" ht="12.75" customHeight="1">
      <c r="B168" s="364"/>
      <c r="C168" s="364"/>
      <c r="D168" s="364"/>
      <c r="E168" s="364"/>
      <c r="F168" s="364"/>
      <c r="G168" s="364"/>
    </row>
    <row r="169" ht="12.75" customHeight="1">
      <c r="B169" s="364"/>
      <c r="C169" s="364"/>
      <c r="D169" s="364"/>
      <c r="E169" s="364"/>
      <c r="F169" s="364"/>
      <c r="G169" s="364"/>
    </row>
    <row r="170" ht="12.75" customHeight="1">
      <c r="B170" s="364"/>
      <c r="C170" s="364"/>
      <c r="D170" s="364"/>
      <c r="E170" s="364"/>
      <c r="F170" s="364"/>
      <c r="G170" s="364"/>
    </row>
    <row r="171" ht="12.75" customHeight="1">
      <c r="B171" s="364"/>
      <c r="C171" s="364"/>
      <c r="D171" s="364"/>
      <c r="E171" s="364"/>
      <c r="F171" s="364"/>
      <c r="G171" s="364"/>
    </row>
    <row r="172" ht="12.75" customHeight="1">
      <c r="B172" s="364"/>
      <c r="C172" s="364"/>
      <c r="D172" s="364"/>
      <c r="E172" s="364"/>
      <c r="F172" s="364"/>
      <c r="G172" s="364"/>
    </row>
    <row r="173" ht="12.75" customHeight="1">
      <c r="B173" s="364"/>
      <c r="C173" s="364"/>
      <c r="D173" s="364"/>
      <c r="E173" s="364"/>
      <c r="F173" s="364"/>
      <c r="G173" s="364"/>
    </row>
    <row r="174" ht="12.75" customHeight="1">
      <c r="B174" s="364"/>
      <c r="C174" s="364"/>
      <c r="D174" s="364"/>
      <c r="E174" s="364"/>
      <c r="F174" s="364"/>
      <c r="G174" s="364"/>
    </row>
    <row r="175" ht="12.75" customHeight="1">
      <c r="B175" s="364"/>
      <c r="C175" s="364"/>
      <c r="D175" s="364"/>
      <c r="E175" s="364"/>
      <c r="F175" s="364"/>
      <c r="G175" s="364"/>
    </row>
    <row r="176" ht="12.75" customHeight="1">
      <c r="B176" s="364"/>
      <c r="C176" s="364"/>
      <c r="D176" s="364"/>
      <c r="E176" s="364"/>
      <c r="F176" s="364"/>
      <c r="G176" s="364"/>
    </row>
    <row r="177" ht="12.75" customHeight="1">
      <c r="B177" s="364"/>
      <c r="C177" s="364"/>
      <c r="D177" s="364"/>
      <c r="E177" s="364"/>
      <c r="F177" s="364"/>
      <c r="G177" s="364"/>
    </row>
    <row r="178" ht="12.75" customHeight="1">
      <c r="B178" s="364"/>
      <c r="C178" s="364"/>
      <c r="D178" s="364"/>
      <c r="E178" s="364"/>
      <c r="F178" s="364"/>
      <c r="G178" s="364"/>
    </row>
    <row r="179" ht="12.75" customHeight="1">
      <c r="B179" s="364"/>
      <c r="C179" s="364"/>
      <c r="D179" s="364"/>
      <c r="E179" s="364"/>
      <c r="F179" s="364"/>
      <c r="G179" s="364"/>
    </row>
    <row r="180" ht="12.75" customHeight="1">
      <c r="B180" s="364"/>
      <c r="C180" s="364"/>
      <c r="D180" s="364"/>
      <c r="E180" s="364"/>
      <c r="F180" s="364"/>
      <c r="G180" s="364"/>
    </row>
    <row r="181" ht="12.75" customHeight="1">
      <c r="B181" s="364"/>
      <c r="C181" s="364"/>
      <c r="D181" s="364"/>
      <c r="E181" s="364"/>
      <c r="F181" s="364"/>
      <c r="G181" s="364"/>
    </row>
    <row r="182" ht="12.75" customHeight="1">
      <c r="B182" s="364"/>
      <c r="C182" s="364"/>
      <c r="D182" s="364"/>
      <c r="E182" s="364"/>
      <c r="F182" s="364"/>
      <c r="G182" s="364"/>
    </row>
    <row r="183" ht="12.75" customHeight="1">
      <c r="B183" s="364"/>
      <c r="C183" s="364"/>
      <c r="D183" s="364"/>
      <c r="E183" s="364"/>
      <c r="F183" s="364"/>
      <c r="G183" s="364"/>
    </row>
    <row r="184" ht="12.75" customHeight="1">
      <c r="B184" s="364"/>
      <c r="C184" s="364"/>
      <c r="D184" s="364"/>
      <c r="E184" s="364"/>
      <c r="F184" s="364"/>
      <c r="G184" s="364"/>
    </row>
    <row r="185" ht="12.75" customHeight="1">
      <c r="B185" s="364"/>
      <c r="C185" s="364"/>
      <c r="D185" s="364"/>
      <c r="E185" s="364"/>
      <c r="F185" s="364"/>
      <c r="G185" s="364"/>
    </row>
    <row r="186" ht="12.75" customHeight="1">
      <c r="B186" s="364"/>
      <c r="C186" s="364"/>
      <c r="D186" s="364"/>
      <c r="E186" s="364"/>
      <c r="F186" s="364"/>
      <c r="G186" s="364"/>
    </row>
    <row r="187" ht="12.75" customHeight="1">
      <c r="B187" s="364"/>
      <c r="C187" s="364"/>
      <c r="D187" s="364"/>
      <c r="E187" s="364"/>
      <c r="F187" s="364"/>
      <c r="G187" s="364"/>
    </row>
    <row r="188" ht="12.75" customHeight="1">
      <c r="B188" s="364"/>
      <c r="C188" s="364"/>
      <c r="D188" s="364"/>
      <c r="E188" s="364"/>
      <c r="F188" s="364"/>
      <c r="G188" s="364"/>
    </row>
    <row r="189" ht="12.75" customHeight="1">
      <c r="B189" s="364"/>
      <c r="C189" s="364"/>
      <c r="D189" s="364"/>
      <c r="E189" s="364"/>
      <c r="F189" s="364"/>
      <c r="G189" s="364"/>
    </row>
    <row r="190" ht="12.75" customHeight="1">
      <c r="B190" s="364"/>
      <c r="C190" s="364"/>
      <c r="D190" s="364"/>
      <c r="E190" s="364"/>
      <c r="F190" s="364"/>
      <c r="G190" s="364"/>
    </row>
    <row r="191" ht="12.75" customHeight="1">
      <c r="B191" s="364"/>
      <c r="C191" s="364"/>
      <c r="D191" s="364"/>
      <c r="E191" s="364"/>
      <c r="F191" s="364"/>
      <c r="G191" s="364"/>
    </row>
    <row r="192" ht="12.75" customHeight="1">
      <c r="B192" s="364"/>
      <c r="C192" s="364"/>
      <c r="D192" s="364"/>
      <c r="E192" s="364"/>
      <c r="F192" s="364"/>
      <c r="G192" s="364"/>
    </row>
    <row r="193" ht="12.75" customHeight="1">
      <c r="B193" s="364"/>
      <c r="C193" s="364"/>
      <c r="D193" s="364"/>
      <c r="E193" s="364"/>
      <c r="F193" s="364"/>
      <c r="G193" s="364"/>
    </row>
    <row r="194" ht="12.75" customHeight="1">
      <c r="B194" s="364"/>
      <c r="C194" s="364"/>
      <c r="D194" s="364"/>
      <c r="E194" s="364"/>
      <c r="F194" s="364"/>
      <c r="G194" s="364"/>
    </row>
    <row r="195" ht="12.75" customHeight="1">
      <c r="B195" s="364"/>
      <c r="C195" s="364"/>
      <c r="D195" s="364"/>
      <c r="E195" s="364"/>
      <c r="F195" s="364"/>
      <c r="G195" s="364"/>
    </row>
    <row r="196" ht="12.75" customHeight="1">
      <c r="B196" s="364"/>
      <c r="C196" s="364"/>
      <c r="D196" s="364"/>
      <c r="E196" s="364"/>
      <c r="F196" s="364"/>
      <c r="G196" s="364"/>
    </row>
    <row r="197" ht="12.75" customHeight="1">
      <c r="B197" s="364"/>
      <c r="C197" s="364"/>
      <c r="D197" s="364"/>
      <c r="E197" s="364"/>
      <c r="F197" s="364"/>
      <c r="G197" s="364"/>
    </row>
    <row r="198" ht="12.75" customHeight="1">
      <c r="B198" s="364"/>
      <c r="C198" s="364"/>
      <c r="D198" s="364"/>
      <c r="E198" s="364"/>
      <c r="F198" s="364"/>
      <c r="G198" s="364"/>
    </row>
    <row r="199" ht="12.75" customHeight="1">
      <c r="B199" s="364"/>
      <c r="C199" s="364"/>
      <c r="D199" s="364"/>
      <c r="E199" s="364"/>
      <c r="F199" s="364"/>
      <c r="G199" s="364"/>
    </row>
    <row r="200" ht="12.75" customHeight="1">
      <c r="B200" s="364"/>
      <c r="C200" s="364"/>
      <c r="D200" s="364"/>
      <c r="E200" s="364"/>
      <c r="F200" s="364"/>
      <c r="G200" s="364"/>
    </row>
    <row r="201" ht="12.75" customHeight="1">
      <c r="B201" s="364"/>
      <c r="C201" s="364"/>
      <c r="D201" s="364"/>
      <c r="E201" s="364"/>
      <c r="F201" s="364"/>
      <c r="G201" s="364"/>
    </row>
    <row r="202" ht="12.75" customHeight="1">
      <c r="B202" s="364"/>
      <c r="C202" s="364"/>
      <c r="D202" s="364"/>
      <c r="E202" s="364"/>
      <c r="F202" s="364"/>
      <c r="G202" s="364"/>
    </row>
    <row r="203" ht="12.75" customHeight="1">
      <c r="B203" s="364"/>
      <c r="C203" s="364"/>
      <c r="D203" s="364"/>
      <c r="E203" s="364"/>
      <c r="F203" s="364"/>
      <c r="G203" s="364"/>
    </row>
    <row r="204" ht="12.75" customHeight="1">
      <c r="B204" s="364"/>
      <c r="C204" s="364"/>
      <c r="D204" s="364"/>
      <c r="E204" s="364"/>
      <c r="F204" s="364"/>
      <c r="G204" s="364"/>
    </row>
    <row r="205" ht="12.75" customHeight="1">
      <c r="B205" s="364"/>
      <c r="C205" s="364"/>
      <c r="D205" s="364"/>
      <c r="E205" s="364"/>
      <c r="F205" s="364"/>
      <c r="G205" s="364"/>
    </row>
    <row r="206" ht="12.75" customHeight="1">
      <c r="B206" s="364"/>
      <c r="C206" s="364"/>
      <c r="D206" s="364"/>
      <c r="E206" s="364"/>
      <c r="F206" s="364"/>
      <c r="G206" s="364"/>
    </row>
    <row r="207" ht="12.75" customHeight="1">
      <c r="B207" s="364"/>
      <c r="C207" s="364"/>
      <c r="D207" s="364"/>
      <c r="E207" s="364"/>
      <c r="F207" s="364"/>
      <c r="G207" s="364"/>
    </row>
    <row r="208" ht="12.75" customHeight="1">
      <c r="B208" s="364"/>
      <c r="C208" s="364"/>
      <c r="D208" s="364"/>
      <c r="E208" s="364"/>
      <c r="F208" s="364"/>
      <c r="G208" s="364"/>
    </row>
    <row r="209" ht="12.75" customHeight="1">
      <c r="B209" s="364"/>
      <c r="C209" s="364"/>
      <c r="D209" s="364"/>
      <c r="E209" s="364"/>
      <c r="F209" s="364"/>
      <c r="G209" s="364"/>
    </row>
    <row r="210" ht="12.75" customHeight="1">
      <c r="B210" s="364"/>
      <c r="C210" s="364"/>
      <c r="D210" s="364"/>
      <c r="E210" s="364"/>
      <c r="F210" s="364"/>
      <c r="G210" s="364"/>
    </row>
    <row r="211" ht="12.75" customHeight="1">
      <c r="B211" s="364"/>
      <c r="C211" s="364"/>
      <c r="D211" s="364"/>
      <c r="E211" s="364"/>
      <c r="F211" s="364"/>
      <c r="G211" s="364"/>
    </row>
    <row r="212" ht="12.75" customHeight="1">
      <c r="B212" s="364"/>
      <c r="C212" s="364"/>
      <c r="D212" s="364"/>
      <c r="E212" s="364"/>
      <c r="F212" s="364"/>
      <c r="G212" s="364"/>
    </row>
    <row r="213" ht="12.75" customHeight="1">
      <c r="B213" s="364"/>
      <c r="C213" s="364"/>
      <c r="D213" s="364"/>
      <c r="E213" s="364"/>
      <c r="F213" s="364"/>
      <c r="G213" s="364"/>
    </row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8.0"/>
    <col customWidth="1" min="2" max="2" width="11.0"/>
    <col customWidth="1" min="3" max="3" width="9.5"/>
    <col customWidth="1" min="4" max="4" width="13.25"/>
    <col customWidth="1" min="5" max="5" width="9.75"/>
    <col customWidth="1" min="6" max="16" width="8.0"/>
    <col customWidth="1" min="17" max="26" width="7.0"/>
  </cols>
  <sheetData>
    <row r="1" ht="13.5" customHeight="1">
      <c r="A1" s="747" t="s">
        <v>0</v>
      </c>
      <c r="B1" s="761" t="s">
        <v>352</v>
      </c>
      <c r="C1" s="761" t="s">
        <v>353</v>
      </c>
      <c r="D1" s="761" t="s">
        <v>354</v>
      </c>
      <c r="E1" s="761" t="s">
        <v>355</v>
      </c>
      <c r="F1" s="762" t="s">
        <v>72</v>
      </c>
      <c r="G1" s="763"/>
      <c r="H1" s="763"/>
      <c r="I1" s="763"/>
      <c r="J1" s="763"/>
      <c r="K1" s="763"/>
      <c r="L1" s="763"/>
      <c r="M1" s="763"/>
      <c r="N1" s="763"/>
      <c r="O1" s="763"/>
      <c r="P1" s="763"/>
      <c r="Q1" s="763"/>
      <c r="R1" s="763"/>
      <c r="S1" s="763"/>
      <c r="T1" s="763"/>
      <c r="U1" s="763"/>
      <c r="V1" s="763"/>
      <c r="W1" s="763"/>
      <c r="X1" s="763"/>
      <c r="Y1" s="763"/>
      <c r="Z1" s="763"/>
    </row>
    <row r="2" ht="12.75" customHeight="1">
      <c r="A2" s="764" t="s">
        <v>36</v>
      </c>
      <c r="B2" s="765" t="s">
        <v>260</v>
      </c>
      <c r="C2" s="766" t="s">
        <v>356</v>
      </c>
      <c r="D2" s="766" t="s">
        <v>357</v>
      </c>
      <c r="E2" s="766" t="s">
        <v>358</v>
      </c>
      <c r="F2" s="767">
        <v>40.0</v>
      </c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3"/>
      <c r="U2" s="763"/>
      <c r="V2" s="763"/>
      <c r="W2" s="763"/>
      <c r="X2" s="763"/>
      <c r="Y2" s="763"/>
      <c r="Z2" s="763"/>
    </row>
    <row r="3" ht="12.75" customHeight="1">
      <c r="A3" s="768" t="s">
        <v>35</v>
      </c>
      <c r="B3" s="769" t="s">
        <v>122</v>
      </c>
      <c r="C3" s="769" t="s">
        <v>356</v>
      </c>
      <c r="D3" s="769" t="s">
        <v>357</v>
      </c>
      <c r="E3" s="769" t="s">
        <v>358</v>
      </c>
      <c r="F3" s="770">
        <v>40.0</v>
      </c>
      <c r="G3" s="763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3"/>
      <c r="U3" s="763"/>
      <c r="V3" s="763"/>
      <c r="W3" s="763"/>
      <c r="X3" s="763"/>
      <c r="Y3" s="763"/>
      <c r="Z3" s="763"/>
    </row>
    <row r="4" ht="12.75" customHeight="1">
      <c r="A4" s="768" t="s">
        <v>262</v>
      </c>
      <c r="B4" s="769" t="s">
        <v>122</v>
      </c>
      <c r="C4" s="769" t="s">
        <v>356</v>
      </c>
      <c r="D4" s="769" t="s">
        <v>357</v>
      </c>
      <c r="E4" s="771" t="s">
        <v>359</v>
      </c>
      <c r="F4" s="770">
        <v>40.0</v>
      </c>
      <c r="G4" s="763"/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3"/>
      <c r="U4" s="763"/>
      <c r="V4" s="763"/>
      <c r="W4" s="763"/>
      <c r="X4" s="763"/>
      <c r="Y4" s="763"/>
      <c r="Z4" s="763"/>
    </row>
    <row r="5" ht="12.75" customHeight="1">
      <c r="A5" s="768" t="s">
        <v>33</v>
      </c>
      <c r="B5" s="769" t="s">
        <v>122</v>
      </c>
      <c r="C5" s="769" t="s">
        <v>356</v>
      </c>
      <c r="D5" s="769" t="s">
        <v>357</v>
      </c>
      <c r="E5" s="771" t="s">
        <v>359</v>
      </c>
      <c r="F5" s="770">
        <v>40.0</v>
      </c>
      <c r="G5" s="763"/>
      <c r="H5" s="763"/>
      <c r="I5" s="763"/>
      <c r="J5" s="763"/>
      <c r="K5" s="763"/>
      <c r="L5" s="763"/>
      <c r="M5" s="763"/>
      <c r="N5" s="763"/>
      <c r="O5" s="763"/>
      <c r="P5" s="763"/>
      <c r="Q5" s="763"/>
      <c r="R5" s="763"/>
      <c r="S5" s="763"/>
      <c r="T5" s="763"/>
      <c r="U5" s="763"/>
      <c r="V5" s="763"/>
      <c r="W5" s="763"/>
      <c r="X5" s="763"/>
      <c r="Y5" s="763"/>
      <c r="Z5" s="763"/>
    </row>
    <row r="6" ht="12.75" customHeight="1">
      <c r="A6" s="768" t="s">
        <v>43</v>
      </c>
      <c r="B6" s="769" t="s">
        <v>122</v>
      </c>
      <c r="C6" s="769" t="s">
        <v>356</v>
      </c>
      <c r="D6" s="769" t="s">
        <v>357</v>
      </c>
      <c r="E6" s="769" t="s">
        <v>358</v>
      </c>
      <c r="F6" s="770">
        <v>40.0</v>
      </c>
      <c r="G6" s="763"/>
      <c r="H6" s="763"/>
      <c r="I6" s="763"/>
      <c r="J6" s="763"/>
      <c r="K6" s="763"/>
      <c r="L6" s="763"/>
      <c r="M6" s="763"/>
      <c r="N6" s="763"/>
      <c r="O6" s="763"/>
      <c r="P6" s="763"/>
      <c r="Q6" s="763"/>
      <c r="R6" s="763"/>
      <c r="S6" s="763"/>
      <c r="T6" s="763"/>
      <c r="U6" s="763"/>
      <c r="V6" s="763"/>
      <c r="W6" s="763"/>
      <c r="X6" s="763"/>
      <c r="Y6" s="763"/>
      <c r="Z6" s="763"/>
    </row>
    <row r="7" ht="12.75" customHeight="1">
      <c r="A7" s="768" t="s">
        <v>42</v>
      </c>
      <c r="B7" s="769" t="s">
        <v>122</v>
      </c>
      <c r="C7" s="769" t="s">
        <v>356</v>
      </c>
      <c r="D7" s="769" t="s">
        <v>357</v>
      </c>
      <c r="E7" s="769" t="s">
        <v>358</v>
      </c>
      <c r="F7" s="770">
        <v>40.0</v>
      </c>
      <c r="G7" s="763"/>
      <c r="H7" s="763"/>
      <c r="I7" s="763"/>
      <c r="J7" s="763"/>
      <c r="K7" s="763"/>
      <c r="L7" s="763"/>
      <c r="M7" s="763"/>
      <c r="N7" s="763"/>
      <c r="O7" s="763"/>
      <c r="P7" s="763"/>
      <c r="Q7" s="763"/>
      <c r="R7" s="763"/>
      <c r="S7" s="763"/>
      <c r="T7" s="763"/>
      <c r="U7" s="763"/>
      <c r="V7" s="763"/>
      <c r="W7" s="763"/>
      <c r="X7" s="763"/>
      <c r="Y7" s="763"/>
      <c r="Z7" s="763"/>
    </row>
    <row r="8" ht="12.75" customHeight="1">
      <c r="A8" s="768" t="s">
        <v>38</v>
      </c>
      <c r="B8" s="769" t="s">
        <v>122</v>
      </c>
      <c r="C8" s="769" t="s">
        <v>356</v>
      </c>
      <c r="D8" s="769" t="s">
        <v>357</v>
      </c>
      <c r="E8" s="769" t="s">
        <v>358</v>
      </c>
      <c r="F8" s="770">
        <v>40.0</v>
      </c>
      <c r="G8" s="763"/>
      <c r="H8" s="763"/>
      <c r="I8" s="763"/>
      <c r="J8" s="763"/>
      <c r="K8" s="763"/>
      <c r="L8" s="763"/>
      <c r="M8" s="763"/>
      <c r="N8" s="763"/>
      <c r="O8" s="763"/>
      <c r="P8" s="763"/>
      <c r="Q8" s="763"/>
      <c r="R8" s="763"/>
      <c r="S8" s="763"/>
      <c r="T8" s="763"/>
      <c r="U8" s="763"/>
      <c r="V8" s="763"/>
      <c r="W8" s="763"/>
      <c r="X8" s="763"/>
      <c r="Y8" s="763"/>
      <c r="Z8" s="763"/>
    </row>
    <row r="9" ht="12.75" customHeight="1">
      <c r="A9" s="768" t="s">
        <v>31</v>
      </c>
      <c r="B9" s="769" t="s">
        <v>122</v>
      </c>
      <c r="C9" s="769" t="s">
        <v>356</v>
      </c>
      <c r="D9" s="769" t="s">
        <v>357</v>
      </c>
      <c r="E9" s="771" t="s">
        <v>359</v>
      </c>
      <c r="F9" s="770">
        <v>40.0</v>
      </c>
      <c r="G9" s="763"/>
      <c r="H9" s="763"/>
      <c r="I9" s="763"/>
      <c r="J9" s="763"/>
      <c r="K9" s="763"/>
      <c r="L9" s="763"/>
      <c r="M9" s="763"/>
      <c r="N9" s="763"/>
      <c r="O9" s="763"/>
      <c r="P9" s="763"/>
      <c r="Q9" s="763"/>
      <c r="R9" s="763"/>
      <c r="S9" s="763"/>
      <c r="T9" s="763"/>
      <c r="U9" s="763"/>
      <c r="V9" s="763"/>
      <c r="W9" s="763"/>
      <c r="X9" s="763"/>
      <c r="Y9" s="763"/>
      <c r="Z9" s="763"/>
    </row>
    <row r="10" ht="12.75" customHeight="1">
      <c r="A10" s="768" t="s">
        <v>37</v>
      </c>
      <c r="B10" s="769" t="s">
        <v>122</v>
      </c>
      <c r="C10" s="769" t="s">
        <v>356</v>
      </c>
      <c r="D10" s="769" t="s">
        <v>357</v>
      </c>
      <c r="E10" s="769" t="s">
        <v>358</v>
      </c>
      <c r="F10" s="772">
        <v>20.0</v>
      </c>
      <c r="G10" s="763"/>
      <c r="H10" s="763"/>
      <c r="I10" s="763"/>
      <c r="J10" s="763"/>
      <c r="K10" s="763"/>
      <c r="L10" s="763"/>
      <c r="M10" s="763"/>
      <c r="N10" s="763"/>
      <c r="O10" s="763"/>
      <c r="P10" s="763"/>
      <c r="Q10" s="763"/>
      <c r="R10" s="763"/>
      <c r="S10" s="763"/>
      <c r="T10" s="763"/>
      <c r="U10" s="763"/>
      <c r="V10" s="763"/>
      <c r="W10" s="763"/>
      <c r="X10" s="763"/>
      <c r="Y10" s="763"/>
      <c r="Z10" s="763"/>
    </row>
    <row r="11" ht="13.5" customHeight="1">
      <c r="A11" s="773" t="s">
        <v>34</v>
      </c>
      <c r="B11" s="774" t="s">
        <v>122</v>
      </c>
      <c r="C11" s="774" t="s">
        <v>356</v>
      </c>
      <c r="D11" s="774" t="s">
        <v>357</v>
      </c>
      <c r="E11" s="775" t="s">
        <v>359</v>
      </c>
      <c r="F11" s="776">
        <v>40.0</v>
      </c>
      <c r="G11" s="763"/>
      <c r="H11" s="763"/>
      <c r="I11" s="763"/>
      <c r="J11" s="763"/>
      <c r="K11" s="763"/>
      <c r="L11" s="763"/>
      <c r="M11" s="763"/>
      <c r="N11" s="763"/>
      <c r="O11" s="763"/>
      <c r="P11" s="763"/>
      <c r="Q11" s="763"/>
      <c r="R11" s="763"/>
      <c r="S11" s="763"/>
      <c r="T11" s="763"/>
      <c r="U11" s="763"/>
      <c r="V11" s="763"/>
      <c r="W11" s="763"/>
      <c r="X11" s="763"/>
      <c r="Y11" s="763"/>
      <c r="Z11" s="763"/>
    </row>
    <row r="12" ht="12.75" customHeight="1">
      <c r="A12" s="763"/>
      <c r="B12" s="763" t="s">
        <v>360</v>
      </c>
      <c r="C12" s="777" t="s">
        <v>361</v>
      </c>
      <c r="D12" s="777" t="s">
        <v>362</v>
      </c>
      <c r="E12" s="777" t="s">
        <v>363</v>
      </c>
      <c r="F12" s="777" t="s">
        <v>364</v>
      </c>
      <c r="G12" s="763"/>
      <c r="H12" s="763"/>
      <c r="I12" s="763"/>
      <c r="J12" s="763"/>
      <c r="K12" s="763"/>
      <c r="L12" s="763"/>
      <c r="M12" s="763"/>
      <c r="N12" s="763"/>
      <c r="O12" s="763"/>
      <c r="P12" s="763"/>
      <c r="Q12" s="763"/>
      <c r="R12" s="763"/>
      <c r="S12" s="763"/>
      <c r="T12" s="763"/>
      <c r="U12" s="763"/>
      <c r="V12" s="763"/>
      <c r="W12" s="763"/>
      <c r="X12" s="763"/>
      <c r="Y12" s="763"/>
      <c r="Z12" s="763"/>
    </row>
    <row r="13" ht="12.75" customHeight="1">
      <c r="A13" s="763"/>
      <c r="B13" s="763"/>
      <c r="C13" s="763"/>
      <c r="D13" s="763"/>
      <c r="E13" s="763"/>
      <c r="F13" s="763"/>
      <c r="G13" s="763"/>
      <c r="H13" s="763"/>
      <c r="I13" s="763"/>
      <c r="J13" s="763"/>
      <c r="K13" s="763"/>
      <c r="L13" s="763"/>
      <c r="M13" s="763"/>
      <c r="N13" s="763"/>
      <c r="O13" s="763"/>
      <c r="P13" s="763"/>
      <c r="Q13" s="763"/>
      <c r="R13" s="763"/>
      <c r="S13" s="763"/>
      <c r="T13" s="763"/>
      <c r="U13" s="763"/>
      <c r="V13" s="763"/>
      <c r="W13" s="763"/>
      <c r="X13" s="763"/>
      <c r="Y13" s="763"/>
      <c r="Z13" s="763"/>
    </row>
    <row r="14" ht="12.75" customHeight="1">
      <c r="A14" s="763"/>
      <c r="B14" s="763"/>
      <c r="C14" s="763"/>
      <c r="D14" s="763"/>
      <c r="E14" s="763"/>
      <c r="F14" s="763"/>
      <c r="G14" s="763"/>
      <c r="H14" s="763"/>
      <c r="I14" s="763"/>
      <c r="J14" s="763"/>
      <c r="K14" s="763"/>
      <c r="L14" s="763"/>
      <c r="M14" s="763"/>
      <c r="N14" s="763"/>
      <c r="O14" s="763"/>
      <c r="P14" s="763"/>
      <c r="Q14" s="763"/>
      <c r="R14" s="763"/>
      <c r="S14" s="763"/>
      <c r="T14" s="763"/>
      <c r="U14" s="763"/>
      <c r="V14" s="763"/>
      <c r="W14" s="763"/>
      <c r="X14" s="763"/>
      <c r="Y14" s="763"/>
      <c r="Z14" s="763"/>
    </row>
    <row r="15" ht="12.75" customHeight="1">
      <c r="A15" s="763"/>
      <c r="B15" s="763"/>
      <c r="C15" s="763"/>
      <c r="D15" s="763"/>
      <c r="E15" s="763"/>
      <c r="F15" s="763"/>
      <c r="G15" s="763"/>
      <c r="H15" s="763"/>
      <c r="I15" s="763"/>
      <c r="J15" s="763"/>
      <c r="K15" s="763"/>
      <c r="L15" s="763"/>
      <c r="M15" s="763"/>
      <c r="N15" s="763"/>
      <c r="O15" s="763"/>
      <c r="P15" s="763"/>
      <c r="Q15" s="763"/>
      <c r="R15" s="763"/>
      <c r="S15" s="763"/>
      <c r="T15" s="763"/>
      <c r="U15" s="763"/>
      <c r="V15" s="763"/>
      <c r="W15" s="763"/>
      <c r="X15" s="763"/>
      <c r="Y15" s="763"/>
      <c r="Z15" s="763"/>
    </row>
    <row r="16" ht="12.75" customHeight="1">
      <c r="A16" s="763"/>
      <c r="B16" s="763"/>
      <c r="C16" s="763"/>
      <c r="D16" s="763"/>
      <c r="E16" s="763"/>
      <c r="F16" s="763"/>
      <c r="G16" s="763"/>
      <c r="H16" s="763"/>
      <c r="I16" s="763"/>
      <c r="J16" s="763"/>
      <c r="K16" s="763"/>
      <c r="L16" s="763"/>
      <c r="M16" s="763"/>
      <c r="N16" s="763"/>
      <c r="O16" s="763"/>
      <c r="P16" s="763"/>
      <c r="Q16" s="763"/>
      <c r="R16" s="763"/>
      <c r="S16" s="763"/>
      <c r="T16" s="763"/>
      <c r="U16" s="763"/>
      <c r="V16" s="763"/>
      <c r="W16" s="763"/>
      <c r="X16" s="763"/>
      <c r="Y16" s="763"/>
      <c r="Z16" s="763"/>
    </row>
    <row r="17" ht="12.75" customHeight="1">
      <c r="A17" s="763"/>
      <c r="B17" s="763"/>
      <c r="C17" s="763"/>
      <c r="D17" s="763"/>
      <c r="E17" s="763"/>
      <c r="F17" s="763"/>
      <c r="G17" s="763"/>
      <c r="H17" s="763"/>
      <c r="I17" s="763"/>
      <c r="J17" s="763"/>
      <c r="K17" s="763"/>
      <c r="L17" s="763"/>
      <c r="M17" s="763"/>
      <c r="N17" s="763"/>
      <c r="O17" s="763"/>
      <c r="P17" s="763"/>
      <c r="Q17" s="763"/>
      <c r="R17" s="763"/>
      <c r="S17" s="763"/>
      <c r="T17" s="763"/>
      <c r="U17" s="763"/>
      <c r="V17" s="763"/>
      <c r="W17" s="763"/>
      <c r="X17" s="763"/>
      <c r="Y17" s="763"/>
      <c r="Z17" s="763"/>
    </row>
    <row r="18" ht="12.75" customHeight="1">
      <c r="A18" s="763"/>
      <c r="B18" s="763"/>
      <c r="C18" s="763"/>
      <c r="D18" s="763"/>
      <c r="E18" s="763"/>
      <c r="F18" s="763"/>
      <c r="G18" s="763"/>
      <c r="H18" s="763"/>
      <c r="I18" s="763"/>
      <c r="J18" s="763"/>
      <c r="K18" s="763"/>
      <c r="L18" s="763"/>
      <c r="M18" s="763"/>
      <c r="N18" s="763"/>
      <c r="O18" s="763"/>
      <c r="P18" s="763"/>
      <c r="Q18" s="763"/>
      <c r="R18" s="763"/>
      <c r="S18" s="763"/>
      <c r="T18" s="763"/>
      <c r="U18" s="763"/>
      <c r="V18" s="763"/>
      <c r="W18" s="763"/>
      <c r="X18" s="763"/>
      <c r="Y18" s="763"/>
      <c r="Z18" s="763"/>
    </row>
    <row r="19" ht="12.75" customHeight="1">
      <c r="A19" s="763"/>
      <c r="B19" s="763"/>
      <c r="C19" s="763"/>
      <c r="D19" s="763"/>
      <c r="E19" s="763"/>
      <c r="F19" s="763"/>
      <c r="G19" s="763"/>
      <c r="H19" s="763"/>
      <c r="I19" s="763"/>
      <c r="J19" s="763"/>
      <c r="K19" s="763"/>
      <c r="L19" s="763"/>
      <c r="M19" s="763"/>
      <c r="N19" s="763"/>
      <c r="O19" s="763"/>
      <c r="P19" s="763"/>
      <c r="Q19" s="763"/>
      <c r="R19" s="763"/>
      <c r="S19" s="763"/>
      <c r="T19" s="763"/>
      <c r="U19" s="763"/>
      <c r="V19" s="763"/>
      <c r="W19" s="763"/>
      <c r="X19" s="763"/>
      <c r="Y19" s="763"/>
      <c r="Z19" s="763"/>
    </row>
    <row r="20" ht="12.75" customHeight="1">
      <c r="A20" s="763"/>
      <c r="B20" s="763"/>
      <c r="C20" s="763"/>
      <c r="D20" s="763"/>
      <c r="E20" s="763"/>
      <c r="F20" s="763"/>
      <c r="G20" s="763"/>
      <c r="H20" s="763"/>
      <c r="I20" s="763"/>
      <c r="J20" s="763"/>
      <c r="K20" s="763"/>
      <c r="L20" s="763"/>
      <c r="M20" s="763"/>
      <c r="N20" s="763"/>
      <c r="O20" s="763"/>
      <c r="P20" s="763"/>
      <c r="Q20" s="763"/>
      <c r="R20" s="763"/>
      <c r="S20" s="763"/>
      <c r="T20" s="763"/>
      <c r="U20" s="763"/>
      <c r="V20" s="763"/>
      <c r="W20" s="763"/>
      <c r="X20" s="763"/>
      <c r="Y20" s="763"/>
      <c r="Z20" s="763"/>
    </row>
    <row r="21" ht="12.75" customHeight="1">
      <c r="A21" s="763"/>
      <c r="B21" s="763"/>
      <c r="C21" s="763"/>
      <c r="D21" s="763"/>
      <c r="E21" s="763"/>
      <c r="F21" s="763"/>
      <c r="G21" s="763"/>
      <c r="H21" s="763"/>
      <c r="I21" s="763"/>
      <c r="J21" s="763"/>
      <c r="K21" s="763"/>
      <c r="L21" s="763"/>
      <c r="M21" s="763"/>
      <c r="N21" s="763"/>
      <c r="O21" s="763"/>
      <c r="P21" s="763"/>
      <c r="Q21" s="763"/>
      <c r="R21" s="763"/>
      <c r="S21" s="763"/>
      <c r="T21" s="763"/>
      <c r="U21" s="763"/>
      <c r="V21" s="763"/>
      <c r="W21" s="763"/>
      <c r="X21" s="763"/>
      <c r="Y21" s="763"/>
      <c r="Z21" s="763"/>
    </row>
    <row r="22" ht="12.75" customHeight="1">
      <c r="A22" s="763"/>
      <c r="B22" s="763"/>
      <c r="C22" s="763"/>
      <c r="D22" s="763"/>
      <c r="E22" s="763"/>
      <c r="F22" s="763"/>
      <c r="G22" s="763"/>
      <c r="H22" s="763"/>
      <c r="I22" s="763"/>
      <c r="J22" s="763"/>
      <c r="K22" s="763"/>
      <c r="L22" s="763"/>
      <c r="M22" s="763"/>
      <c r="N22" s="763"/>
      <c r="O22" s="763"/>
      <c r="P22" s="763"/>
      <c r="Q22" s="763"/>
      <c r="R22" s="763"/>
      <c r="S22" s="763"/>
      <c r="T22" s="763"/>
      <c r="U22" s="763"/>
      <c r="V22" s="763"/>
      <c r="W22" s="763"/>
      <c r="X22" s="763"/>
      <c r="Y22" s="763"/>
      <c r="Z22" s="763"/>
    </row>
    <row r="23" ht="12.75" customHeight="1">
      <c r="A23" s="763"/>
      <c r="B23" s="763"/>
      <c r="C23" s="763"/>
      <c r="D23" s="763"/>
      <c r="E23" s="763"/>
      <c r="F23" s="763"/>
      <c r="G23" s="763"/>
      <c r="H23" s="763"/>
      <c r="I23" s="763"/>
      <c r="J23" s="763"/>
      <c r="K23" s="763"/>
      <c r="L23" s="763"/>
      <c r="M23" s="763"/>
      <c r="N23" s="763"/>
      <c r="O23" s="763"/>
      <c r="P23" s="763"/>
      <c r="Q23" s="763"/>
      <c r="R23" s="763"/>
      <c r="S23" s="763"/>
      <c r="T23" s="763"/>
      <c r="U23" s="763"/>
      <c r="V23" s="763"/>
      <c r="W23" s="763"/>
      <c r="X23" s="763"/>
      <c r="Y23" s="763"/>
      <c r="Z23" s="763"/>
    </row>
    <row r="24" ht="12.75" customHeight="1">
      <c r="A24" s="763"/>
      <c r="B24" s="763"/>
      <c r="C24" s="763"/>
      <c r="D24" s="763"/>
      <c r="E24" s="763"/>
      <c r="F24" s="763"/>
      <c r="G24" s="763"/>
      <c r="H24" s="763"/>
      <c r="I24" s="763"/>
      <c r="J24" s="763"/>
      <c r="K24" s="763"/>
      <c r="L24" s="763"/>
      <c r="M24" s="763"/>
      <c r="N24" s="763"/>
      <c r="O24" s="763"/>
      <c r="P24" s="763"/>
      <c r="Q24" s="763"/>
      <c r="R24" s="763"/>
      <c r="S24" s="763"/>
      <c r="T24" s="763"/>
      <c r="U24" s="763"/>
      <c r="V24" s="763"/>
      <c r="W24" s="763"/>
      <c r="X24" s="763"/>
      <c r="Y24" s="763"/>
      <c r="Z24" s="763"/>
    </row>
    <row r="25" ht="12.75" customHeight="1">
      <c r="A25" s="763"/>
      <c r="B25" s="763"/>
      <c r="C25" s="763"/>
      <c r="D25" s="763"/>
      <c r="E25" s="763"/>
      <c r="F25" s="763"/>
      <c r="G25" s="763"/>
      <c r="H25" s="763"/>
      <c r="I25" s="763"/>
      <c r="J25" s="763"/>
      <c r="K25" s="763"/>
      <c r="L25" s="763"/>
      <c r="M25" s="763"/>
      <c r="N25" s="763"/>
      <c r="O25" s="763"/>
      <c r="P25" s="763"/>
      <c r="Q25" s="763"/>
      <c r="R25" s="763"/>
      <c r="S25" s="763"/>
      <c r="T25" s="763"/>
      <c r="U25" s="763"/>
      <c r="V25" s="763"/>
      <c r="W25" s="763"/>
      <c r="X25" s="763"/>
      <c r="Y25" s="763"/>
      <c r="Z25" s="763"/>
    </row>
    <row r="26" ht="12.75" customHeight="1">
      <c r="A26" s="763"/>
      <c r="B26" s="763"/>
      <c r="C26" s="763"/>
      <c r="D26" s="763"/>
      <c r="E26" s="763"/>
      <c r="F26" s="763"/>
      <c r="G26" s="763"/>
      <c r="H26" s="763"/>
      <c r="I26" s="763"/>
      <c r="J26" s="763"/>
      <c r="K26" s="763"/>
      <c r="L26" s="763"/>
      <c r="M26" s="763"/>
      <c r="N26" s="763"/>
      <c r="O26" s="763"/>
      <c r="P26" s="763"/>
      <c r="Q26" s="763"/>
      <c r="R26" s="763"/>
      <c r="S26" s="763"/>
      <c r="T26" s="763"/>
      <c r="U26" s="763"/>
      <c r="V26" s="763"/>
      <c r="W26" s="763"/>
      <c r="X26" s="763"/>
      <c r="Y26" s="763"/>
      <c r="Z26" s="763"/>
    </row>
    <row r="27" ht="12.75" customHeight="1">
      <c r="A27" s="763"/>
      <c r="B27" s="763"/>
      <c r="C27" s="763"/>
      <c r="D27" s="763"/>
      <c r="E27" s="763"/>
      <c r="F27" s="763"/>
      <c r="G27" s="763"/>
      <c r="H27" s="763"/>
      <c r="I27" s="763"/>
      <c r="J27" s="763"/>
      <c r="K27" s="763"/>
      <c r="L27" s="763"/>
      <c r="M27" s="763"/>
      <c r="N27" s="763"/>
      <c r="O27" s="763"/>
      <c r="P27" s="763"/>
      <c r="Q27" s="763"/>
      <c r="R27" s="763"/>
      <c r="S27" s="763"/>
      <c r="T27" s="763"/>
      <c r="U27" s="763"/>
      <c r="V27" s="763"/>
      <c r="W27" s="763"/>
      <c r="X27" s="763"/>
      <c r="Y27" s="763"/>
      <c r="Z27" s="763"/>
    </row>
    <row r="28" ht="12.75" customHeight="1">
      <c r="A28" s="763"/>
      <c r="B28" s="763"/>
      <c r="C28" s="763"/>
      <c r="D28" s="763"/>
      <c r="E28" s="763"/>
      <c r="F28" s="763"/>
      <c r="G28" s="763"/>
      <c r="H28" s="763"/>
      <c r="I28" s="763"/>
      <c r="J28" s="763"/>
      <c r="K28" s="763"/>
      <c r="L28" s="763"/>
      <c r="M28" s="763"/>
      <c r="N28" s="763"/>
      <c r="O28" s="763"/>
      <c r="P28" s="763"/>
      <c r="Q28" s="763"/>
      <c r="R28" s="763"/>
      <c r="S28" s="763"/>
      <c r="T28" s="763"/>
      <c r="U28" s="763"/>
      <c r="V28" s="763"/>
      <c r="W28" s="763"/>
      <c r="X28" s="763"/>
      <c r="Y28" s="763"/>
      <c r="Z28" s="763"/>
    </row>
    <row r="29" ht="12.75" customHeight="1">
      <c r="A29" s="763"/>
      <c r="B29" s="763"/>
      <c r="C29" s="763"/>
      <c r="D29" s="763"/>
      <c r="E29" s="763"/>
      <c r="F29" s="763"/>
      <c r="G29" s="763"/>
      <c r="H29" s="763"/>
      <c r="I29" s="763"/>
      <c r="J29" s="763"/>
      <c r="K29" s="763"/>
      <c r="L29" s="763"/>
      <c r="M29" s="763"/>
      <c r="N29" s="763"/>
      <c r="O29" s="763"/>
      <c r="P29" s="763"/>
      <c r="Q29" s="763"/>
      <c r="R29" s="763"/>
      <c r="S29" s="763"/>
      <c r="T29" s="763"/>
      <c r="U29" s="763"/>
      <c r="V29" s="763"/>
      <c r="W29" s="763"/>
      <c r="X29" s="763"/>
      <c r="Y29" s="763"/>
      <c r="Z29" s="763"/>
    </row>
    <row r="30" ht="12.75" customHeight="1">
      <c r="A30" s="763"/>
      <c r="B30" s="763"/>
      <c r="C30" s="763"/>
      <c r="D30" s="763"/>
      <c r="E30" s="763"/>
      <c r="F30" s="763"/>
      <c r="G30" s="763"/>
      <c r="H30" s="763"/>
      <c r="I30" s="763"/>
      <c r="J30" s="763"/>
      <c r="K30" s="763"/>
      <c r="L30" s="763"/>
      <c r="M30" s="763"/>
      <c r="N30" s="763"/>
      <c r="O30" s="763"/>
      <c r="P30" s="763"/>
      <c r="Q30" s="763"/>
      <c r="R30" s="763"/>
      <c r="S30" s="763"/>
      <c r="T30" s="763"/>
      <c r="U30" s="763"/>
      <c r="V30" s="763"/>
      <c r="W30" s="763"/>
      <c r="X30" s="763"/>
      <c r="Y30" s="763"/>
      <c r="Z30" s="763"/>
    </row>
    <row r="31" ht="12.75" customHeight="1">
      <c r="A31" s="763"/>
      <c r="B31" s="763"/>
      <c r="C31" s="763"/>
      <c r="D31" s="763"/>
      <c r="E31" s="763"/>
      <c r="F31" s="763"/>
      <c r="G31" s="763"/>
      <c r="H31" s="763"/>
      <c r="I31" s="763"/>
      <c r="J31" s="763"/>
      <c r="K31" s="763"/>
      <c r="L31" s="763"/>
      <c r="M31" s="763"/>
      <c r="N31" s="763"/>
      <c r="O31" s="763"/>
      <c r="P31" s="763"/>
      <c r="Q31" s="763"/>
      <c r="R31" s="763"/>
      <c r="S31" s="763"/>
      <c r="T31" s="763"/>
      <c r="U31" s="763"/>
      <c r="V31" s="763"/>
      <c r="W31" s="763"/>
      <c r="X31" s="763"/>
      <c r="Y31" s="763"/>
      <c r="Z31" s="763"/>
    </row>
    <row r="32" ht="12.75" customHeight="1">
      <c r="A32" s="763"/>
      <c r="B32" s="763"/>
      <c r="C32" s="763"/>
      <c r="D32" s="763"/>
      <c r="E32" s="763"/>
      <c r="F32" s="763"/>
      <c r="G32" s="763"/>
      <c r="H32" s="763"/>
      <c r="I32" s="763"/>
      <c r="J32" s="763"/>
      <c r="K32" s="763"/>
      <c r="L32" s="763"/>
      <c r="M32" s="763"/>
      <c r="N32" s="763"/>
      <c r="O32" s="763"/>
      <c r="P32" s="763"/>
      <c r="Q32" s="763"/>
      <c r="R32" s="763"/>
      <c r="S32" s="763"/>
      <c r="T32" s="763"/>
      <c r="U32" s="763"/>
      <c r="V32" s="763"/>
      <c r="W32" s="763"/>
      <c r="X32" s="763"/>
      <c r="Y32" s="763"/>
      <c r="Z32" s="763"/>
    </row>
    <row r="33" ht="12.75" customHeight="1">
      <c r="A33" s="763"/>
      <c r="B33" s="763"/>
      <c r="C33" s="763"/>
      <c r="D33" s="763"/>
      <c r="E33" s="763"/>
      <c r="F33" s="763"/>
      <c r="G33" s="763"/>
      <c r="H33" s="763"/>
      <c r="I33" s="763"/>
      <c r="J33" s="763"/>
      <c r="K33" s="763"/>
      <c r="L33" s="763"/>
      <c r="M33" s="763"/>
      <c r="N33" s="763"/>
      <c r="O33" s="763"/>
      <c r="P33" s="763"/>
      <c r="Q33" s="763"/>
      <c r="R33" s="763"/>
      <c r="S33" s="763"/>
      <c r="T33" s="763"/>
      <c r="U33" s="763"/>
      <c r="V33" s="763"/>
      <c r="W33" s="763"/>
      <c r="X33" s="763"/>
      <c r="Y33" s="763"/>
      <c r="Z33" s="763"/>
    </row>
    <row r="34" ht="12.75" customHeight="1">
      <c r="A34" s="763"/>
      <c r="B34" s="763"/>
      <c r="C34" s="763"/>
      <c r="D34" s="763"/>
      <c r="E34" s="763"/>
      <c r="F34" s="763"/>
      <c r="G34" s="763"/>
      <c r="H34" s="763"/>
      <c r="I34" s="763"/>
      <c r="J34" s="763"/>
      <c r="K34" s="763"/>
      <c r="L34" s="763"/>
      <c r="M34" s="763"/>
      <c r="N34" s="763"/>
      <c r="O34" s="763"/>
      <c r="P34" s="763"/>
      <c r="Q34" s="763"/>
      <c r="R34" s="763"/>
      <c r="S34" s="763"/>
      <c r="T34" s="763"/>
      <c r="U34" s="763"/>
      <c r="V34" s="763"/>
      <c r="W34" s="763"/>
      <c r="X34" s="763"/>
      <c r="Y34" s="763"/>
      <c r="Z34" s="763"/>
    </row>
    <row r="35" ht="12.75" customHeight="1">
      <c r="A35" s="763"/>
      <c r="B35" s="763"/>
      <c r="C35" s="763"/>
      <c r="D35" s="763"/>
      <c r="E35" s="763"/>
      <c r="F35" s="763"/>
      <c r="G35" s="763"/>
      <c r="H35" s="763"/>
      <c r="I35" s="763"/>
      <c r="J35" s="763"/>
      <c r="K35" s="763"/>
      <c r="L35" s="763"/>
      <c r="M35" s="763"/>
      <c r="N35" s="763"/>
      <c r="O35" s="763"/>
      <c r="P35" s="763"/>
      <c r="Q35" s="763"/>
      <c r="R35" s="763"/>
      <c r="S35" s="763"/>
      <c r="T35" s="763"/>
      <c r="U35" s="763"/>
      <c r="V35" s="763"/>
      <c r="W35" s="763"/>
      <c r="X35" s="763"/>
      <c r="Y35" s="763"/>
      <c r="Z35" s="763"/>
    </row>
    <row r="36" ht="12.75" customHeight="1">
      <c r="A36" s="763"/>
      <c r="B36" s="763"/>
      <c r="C36" s="763"/>
      <c r="D36" s="763"/>
      <c r="E36" s="763"/>
      <c r="F36" s="763"/>
      <c r="G36" s="763"/>
      <c r="H36" s="763"/>
      <c r="I36" s="763"/>
      <c r="J36" s="763"/>
      <c r="K36" s="763"/>
      <c r="L36" s="763"/>
      <c r="M36" s="763"/>
      <c r="N36" s="763"/>
      <c r="O36" s="763"/>
      <c r="P36" s="763"/>
      <c r="Q36" s="763"/>
      <c r="R36" s="763"/>
      <c r="S36" s="763"/>
      <c r="T36" s="763"/>
      <c r="U36" s="763"/>
      <c r="V36" s="763"/>
      <c r="W36" s="763"/>
      <c r="X36" s="763"/>
      <c r="Y36" s="763"/>
      <c r="Z36" s="763"/>
    </row>
    <row r="37" ht="12.75" customHeight="1">
      <c r="A37" s="763"/>
      <c r="B37" s="763"/>
      <c r="C37" s="763"/>
      <c r="D37" s="763"/>
      <c r="E37" s="763"/>
      <c r="F37" s="763"/>
      <c r="G37" s="763"/>
      <c r="H37" s="763"/>
      <c r="I37" s="763"/>
      <c r="J37" s="763"/>
      <c r="K37" s="763"/>
      <c r="L37" s="763"/>
      <c r="M37" s="763"/>
      <c r="N37" s="763"/>
      <c r="O37" s="763"/>
      <c r="P37" s="763"/>
      <c r="Q37" s="763"/>
      <c r="R37" s="763"/>
      <c r="S37" s="763"/>
      <c r="T37" s="763"/>
      <c r="U37" s="763"/>
      <c r="V37" s="763"/>
      <c r="W37" s="763"/>
      <c r="X37" s="763"/>
      <c r="Y37" s="763"/>
      <c r="Z37" s="763"/>
    </row>
    <row r="38" ht="12.75" customHeight="1">
      <c r="A38" s="763"/>
      <c r="B38" s="763"/>
      <c r="C38" s="763"/>
      <c r="D38" s="763"/>
      <c r="E38" s="763"/>
      <c r="F38" s="763"/>
      <c r="G38" s="763"/>
      <c r="H38" s="763"/>
      <c r="I38" s="763"/>
      <c r="J38" s="763"/>
      <c r="K38" s="763"/>
      <c r="L38" s="763"/>
      <c r="M38" s="763"/>
      <c r="N38" s="763"/>
      <c r="O38" s="763"/>
      <c r="P38" s="763"/>
      <c r="Q38" s="763"/>
      <c r="R38" s="763"/>
      <c r="S38" s="763"/>
      <c r="T38" s="763"/>
      <c r="U38" s="763"/>
      <c r="V38" s="763"/>
      <c r="W38" s="763"/>
      <c r="X38" s="763"/>
      <c r="Y38" s="763"/>
      <c r="Z38" s="763"/>
    </row>
    <row r="39" ht="12.75" customHeight="1">
      <c r="A39" s="763"/>
      <c r="B39" s="763"/>
      <c r="C39" s="763"/>
      <c r="D39" s="763"/>
      <c r="E39" s="763"/>
      <c r="F39" s="763"/>
      <c r="G39" s="763"/>
      <c r="H39" s="763"/>
      <c r="I39" s="763"/>
      <c r="J39" s="763"/>
      <c r="K39" s="763"/>
      <c r="L39" s="763"/>
      <c r="M39" s="763"/>
      <c r="N39" s="763"/>
      <c r="O39" s="763"/>
      <c r="P39" s="763"/>
      <c r="Q39" s="763"/>
      <c r="R39" s="763"/>
      <c r="S39" s="763"/>
      <c r="T39" s="763"/>
      <c r="U39" s="763"/>
      <c r="V39" s="763"/>
      <c r="W39" s="763"/>
      <c r="X39" s="763"/>
      <c r="Y39" s="763"/>
      <c r="Z39" s="763"/>
    </row>
    <row r="40" ht="12.75" customHeight="1">
      <c r="A40" s="763"/>
      <c r="B40" s="763"/>
      <c r="C40" s="763"/>
      <c r="D40" s="763"/>
      <c r="E40" s="763"/>
      <c r="F40" s="763"/>
      <c r="G40" s="763"/>
      <c r="H40" s="763"/>
      <c r="I40" s="763"/>
      <c r="J40" s="763"/>
      <c r="K40" s="763"/>
      <c r="L40" s="763"/>
      <c r="M40" s="763"/>
      <c r="N40" s="763"/>
      <c r="O40" s="763"/>
      <c r="P40" s="763"/>
      <c r="Q40" s="763"/>
      <c r="R40" s="763"/>
      <c r="S40" s="763"/>
      <c r="T40" s="763"/>
      <c r="U40" s="763"/>
      <c r="V40" s="763"/>
      <c r="W40" s="763"/>
      <c r="X40" s="763"/>
      <c r="Y40" s="763"/>
      <c r="Z40" s="763"/>
    </row>
    <row r="41" ht="12.75" customHeight="1">
      <c r="A41" s="763"/>
      <c r="B41" s="763"/>
      <c r="C41" s="763"/>
      <c r="D41" s="763"/>
      <c r="E41" s="763"/>
      <c r="F41" s="763"/>
      <c r="G41" s="763"/>
      <c r="H41" s="763"/>
      <c r="I41" s="763"/>
      <c r="J41" s="763"/>
      <c r="K41" s="763"/>
      <c r="L41" s="763"/>
      <c r="M41" s="763"/>
      <c r="N41" s="763"/>
      <c r="O41" s="763"/>
      <c r="P41" s="763"/>
      <c r="Q41" s="763"/>
      <c r="R41" s="763"/>
      <c r="S41" s="763"/>
      <c r="T41" s="763"/>
      <c r="U41" s="763"/>
      <c r="V41" s="763"/>
      <c r="W41" s="763"/>
      <c r="X41" s="763"/>
      <c r="Y41" s="763"/>
      <c r="Z41" s="763"/>
    </row>
    <row r="42" ht="12.75" customHeight="1">
      <c r="A42" s="763"/>
      <c r="B42" s="763"/>
      <c r="C42" s="763"/>
      <c r="D42" s="763"/>
      <c r="E42" s="763"/>
      <c r="F42" s="763"/>
      <c r="G42" s="763"/>
      <c r="H42" s="763"/>
      <c r="I42" s="763"/>
      <c r="J42" s="763"/>
      <c r="K42" s="763"/>
      <c r="L42" s="763"/>
      <c r="M42" s="763"/>
      <c r="N42" s="763"/>
      <c r="O42" s="763"/>
      <c r="P42" s="763"/>
      <c r="Q42" s="763"/>
      <c r="R42" s="763"/>
      <c r="S42" s="763"/>
      <c r="T42" s="763"/>
      <c r="U42" s="763"/>
      <c r="V42" s="763"/>
      <c r="W42" s="763"/>
      <c r="X42" s="763"/>
      <c r="Y42" s="763"/>
      <c r="Z42" s="763"/>
    </row>
    <row r="43" ht="12.75" customHeight="1">
      <c r="A43" s="763"/>
      <c r="B43" s="763"/>
      <c r="C43" s="763"/>
      <c r="D43" s="763"/>
      <c r="E43" s="763"/>
      <c r="F43" s="763"/>
      <c r="G43" s="763"/>
      <c r="H43" s="763"/>
      <c r="I43" s="763"/>
      <c r="J43" s="763"/>
      <c r="K43" s="763"/>
      <c r="L43" s="763"/>
      <c r="M43" s="763"/>
      <c r="N43" s="763"/>
      <c r="O43" s="763"/>
      <c r="P43" s="763"/>
      <c r="Q43" s="763"/>
      <c r="R43" s="763"/>
      <c r="S43" s="763"/>
      <c r="T43" s="763"/>
      <c r="U43" s="763"/>
      <c r="V43" s="763"/>
      <c r="W43" s="763"/>
      <c r="X43" s="763"/>
      <c r="Y43" s="763"/>
      <c r="Z43" s="763"/>
    </row>
    <row r="44" ht="12.75" customHeight="1">
      <c r="A44" s="763"/>
      <c r="B44" s="763"/>
      <c r="C44" s="763"/>
      <c r="D44" s="763"/>
      <c r="E44" s="763"/>
      <c r="F44" s="763"/>
      <c r="G44" s="763"/>
      <c r="H44" s="763"/>
      <c r="I44" s="763"/>
      <c r="J44" s="763"/>
      <c r="K44" s="763"/>
      <c r="L44" s="763"/>
      <c r="M44" s="763"/>
      <c r="N44" s="763"/>
      <c r="O44" s="763"/>
      <c r="P44" s="763"/>
      <c r="Q44" s="763"/>
      <c r="R44" s="763"/>
      <c r="S44" s="763"/>
      <c r="T44" s="763"/>
      <c r="U44" s="763"/>
      <c r="V44" s="763"/>
      <c r="W44" s="763"/>
      <c r="X44" s="763"/>
      <c r="Y44" s="763"/>
      <c r="Z44" s="763"/>
    </row>
    <row r="45" ht="12.75" customHeight="1">
      <c r="A45" s="763"/>
      <c r="B45" s="763"/>
      <c r="C45" s="763"/>
      <c r="D45" s="763"/>
      <c r="E45" s="763"/>
      <c r="F45" s="763"/>
      <c r="G45" s="763"/>
      <c r="H45" s="763"/>
      <c r="I45" s="763"/>
      <c r="J45" s="763"/>
      <c r="K45" s="763"/>
      <c r="L45" s="763"/>
      <c r="M45" s="763"/>
      <c r="N45" s="763"/>
      <c r="O45" s="763"/>
      <c r="P45" s="763"/>
      <c r="Q45" s="763"/>
      <c r="R45" s="763"/>
      <c r="S45" s="763"/>
      <c r="T45" s="763"/>
      <c r="U45" s="763"/>
      <c r="V45" s="763"/>
      <c r="W45" s="763"/>
      <c r="X45" s="763"/>
      <c r="Y45" s="763"/>
      <c r="Z45" s="763"/>
    </row>
    <row r="46" ht="12.75" customHeight="1">
      <c r="A46" s="763"/>
      <c r="B46" s="763"/>
      <c r="C46" s="763"/>
      <c r="D46" s="763"/>
      <c r="E46" s="763"/>
      <c r="F46" s="763"/>
      <c r="G46" s="763"/>
      <c r="H46" s="763"/>
      <c r="I46" s="763"/>
      <c r="J46" s="763"/>
      <c r="K46" s="763"/>
      <c r="L46" s="763"/>
      <c r="M46" s="763"/>
      <c r="N46" s="763"/>
      <c r="O46" s="763"/>
      <c r="P46" s="763"/>
      <c r="Q46" s="763"/>
      <c r="R46" s="763"/>
      <c r="S46" s="763"/>
      <c r="T46" s="763"/>
      <c r="U46" s="763"/>
      <c r="V46" s="763"/>
      <c r="W46" s="763"/>
      <c r="X46" s="763"/>
      <c r="Y46" s="763"/>
      <c r="Z46" s="763"/>
    </row>
    <row r="47" ht="12.75" customHeight="1">
      <c r="A47" s="763"/>
      <c r="B47" s="763"/>
      <c r="C47" s="763"/>
      <c r="D47" s="763"/>
      <c r="E47" s="763"/>
      <c r="F47" s="763"/>
      <c r="G47" s="763"/>
      <c r="H47" s="763"/>
      <c r="I47" s="763"/>
      <c r="J47" s="763"/>
      <c r="K47" s="763"/>
      <c r="L47" s="763"/>
      <c r="M47" s="763"/>
      <c r="N47" s="763"/>
      <c r="O47" s="763"/>
      <c r="P47" s="763"/>
      <c r="Q47" s="763"/>
      <c r="R47" s="763"/>
      <c r="S47" s="763"/>
      <c r="T47" s="763"/>
      <c r="U47" s="763"/>
      <c r="V47" s="763"/>
      <c r="W47" s="763"/>
      <c r="X47" s="763"/>
      <c r="Y47" s="763"/>
      <c r="Z47" s="763"/>
    </row>
    <row r="48" ht="12.75" customHeight="1">
      <c r="A48" s="763"/>
      <c r="B48" s="763"/>
      <c r="C48" s="763"/>
      <c r="D48" s="763"/>
      <c r="E48" s="763"/>
      <c r="F48" s="763"/>
      <c r="G48" s="763"/>
      <c r="H48" s="763"/>
      <c r="I48" s="763"/>
      <c r="J48" s="763"/>
      <c r="K48" s="763"/>
      <c r="L48" s="763"/>
      <c r="M48" s="763"/>
      <c r="N48" s="763"/>
      <c r="O48" s="763"/>
      <c r="P48" s="763"/>
      <c r="Q48" s="763"/>
      <c r="R48" s="763"/>
      <c r="S48" s="763"/>
      <c r="T48" s="763"/>
      <c r="U48" s="763"/>
      <c r="V48" s="763"/>
      <c r="W48" s="763"/>
      <c r="X48" s="763"/>
      <c r="Y48" s="763"/>
      <c r="Z48" s="763"/>
    </row>
    <row r="49" ht="12.75" customHeight="1">
      <c r="A49" s="763"/>
      <c r="B49" s="763"/>
      <c r="C49" s="763"/>
      <c r="D49" s="763"/>
      <c r="E49" s="763"/>
      <c r="F49" s="763"/>
      <c r="G49" s="763"/>
      <c r="H49" s="763"/>
      <c r="I49" s="763"/>
      <c r="J49" s="763"/>
      <c r="K49" s="763"/>
      <c r="L49" s="763"/>
      <c r="M49" s="763"/>
      <c r="N49" s="763"/>
      <c r="O49" s="763"/>
      <c r="P49" s="763"/>
      <c r="Q49" s="763"/>
      <c r="R49" s="763"/>
      <c r="S49" s="763"/>
      <c r="T49" s="763"/>
      <c r="U49" s="763"/>
      <c r="V49" s="763"/>
      <c r="W49" s="763"/>
      <c r="X49" s="763"/>
      <c r="Y49" s="763"/>
      <c r="Z49" s="763"/>
    </row>
    <row r="50" ht="12.75" customHeight="1">
      <c r="A50" s="763"/>
      <c r="B50" s="763"/>
      <c r="C50" s="763"/>
      <c r="D50" s="763"/>
      <c r="E50" s="763"/>
      <c r="F50" s="763"/>
      <c r="G50" s="763"/>
      <c r="H50" s="763"/>
      <c r="I50" s="763"/>
      <c r="J50" s="763"/>
      <c r="K50" s="763"/>
      <c r="L50" s="763"/>
      <c r="M50" s="763"/>
      <c r="N50" s="763"/>
      <c r="O50" s="763"/>
      <c r="P50" s="763"/>
      <c r="Q50" s="763"/>
      <c r="R50" s="763"/>
      <c r="S50" s="763"/>
      <c r="T50" s="763"/>
      <c r="U50" s="763"/>
      <c r="V50" s="763"/>
      <c r="W50" s="763"/>
      <c r="X50" s="763"/>
      <c r="Y50" s="763"/>
      <c r="Z50" s="763"/>
    </row>
    <row r="51" ht="12.75" customHeight="1">
      <c r="A51" s="763"/>
      <c r="B51" s="763"/>
      <c r="C51" s="763"/>
      <c r="D51" s="763"/>
      <c r="E51" s="763"/>
      <c r="F51" s="763"/>
      <c r="G51" s="763"/>
      <c r="H51" s="763"/>
      <c r="I51" s="763"/>
      <c r="J51" s="763"/>
      <c r="K51" s="763"/>
      <c r="L51" s="763"/>
      <c r="M51" s="763"/>
      <c r="N51" s="763"/>
      <c r="O51" s="763"/>
      <c r="P51" s="763"/>
      <c r="Q51" s="763"/>
      <c r="R51" s="763"/>
      <c r="S51" s="763"/>
      <c r="T51" s="763"/>
      <c r="U51" s="763"/>
      <c r="V51" s="763"/>
      <c r="W51" s="763"/>
      <c r="X51" s="763"/>
      <c r="Y51" s="763"/>
      <c r="Z51" s="763"/>
    </row>
    <row r="52" ht="12.75" customHeight="1">
      <c r="A52" s="763"/>
      <c r="B52" s="763"/>
      <c r="C52" s="763"/>
      <c r="D52" s="763"/>
      <c r="E52" s="763"/>
      <c r="F52" s="763"/>
      <c r="G52" s="763"/>
      <c r="H52" s="763"/>
      <c r="I52" s="763"/>
      <c r="J52" s="763"/>
      <c r="K52" s="763"/>
      <c r="L52" s="763"/>
      <c r="M52" s="763"/>
      <c r="N52" s="763"/>
      <c r="O52" s="763"/>
      <c r="P52" s="763"/>
      <c r="Q52" s="763"/>
      <c r="R52" s="763"/>
      <c r="S52" s="763"/>
      <c r="T52" s="763"/>
      <c r="U52" s="763"/>
      <c r="V52" s="763"/>
      <c r="W52" s="763"/>
      <c r="X52" s="763"/>
      <c r="Y52" s="763"/>
      <c r="Z52" s="763"/>
    </row>
    <row r="53" ht="12.75" customHeight="1">
      <c r="A53" s="763"/>
      <c r="B53" s="763"/>
      <c r="C53" s="763"/>
      <c r="D53" s="763"/>
      <c r="E53" s="763"/>
      <c r="F53" s="763"/>
      <c r="G53" s="763"/>
      <c r="H53" s="763"/>
      <c r="I53" s="763"/>
      <c r="J53" s="763"/>
      <c r="K53" s="763"/>
      <c r="L53" s="763"/>
      <c r="M53" s="763"/>
      <c r="N53" s="763"/>
      <c r="O53" s="763"/>
      <c r="P53" s="763"/>
      <c r="Q53" s="763"/>
      <c r="R53" s="763"/>
      <c r="S53" s="763"/>
      <c r="T53" s="763"/>
      <c r="U53" s="763"/>
      <c r="V53" s="763"/>
      <c r="W53" s="763"/>
      <c r="X53" s="763"/>
      <c r="Y53" s="763"/>
      <c r="Z53" s="763"/>
    </row>
    <row r="54" ht="12.75" customHeight="1">
      <c r="A54" s="763"/>
      <c r="B54" s="763"/>
      <c r="C54" s="763"/>
      <c r="D54" s="763"/>
      <c r="E54" s="763"/>
      <c r="F54" s="763"/>
      <c r="G54" s="763"/>
      <c r="H54" s="763"/>
      <c r="I54" s="763"/>
      <c r="J54" s="763"/>
      <c r="K54" s="763"/>
      <c r="L54" s="763"/>
      <c r="M54" s="763"/>
      <c r="N54" s="763"/>
      <c r="O54" s="763"/>
      <c r="P54" s="763"/>
      <c r="Q54" s="763"/>
      <c r="R54" s="763"/>
      <c r="S54" s="763"/>
      <c r="T54" s="763"/>
      <c r="U54" s="763"/>
      <c r="V54" s="763"/>
      <c r="W54" s="763"/>
      <c r="X54" s="763"/>
      <c r="Y54" s="763"/>
      <c r="Z54" s="763"/>
    </row>
    <row r="55" ht="12.75" customHeight="1">
      <c r="A55" s="763"/>
      <c r="B55" s="763"/>
      <c r="C55" s="763"/>
      <c r="D55" s="763"/>
      <c r="E55" s="763"/>
      <c r="F55" s="763"/>
      <c r="G55" s="763"/>
      <c r="H55" s="763"/>
      <c r="I55" s="763"/>
      <c r="J55" s="763"/>
      <c r="K55" s="763"/>
      <c r="L55" s="763"/>
      <c r="M55" s="763"/>
      <c r="N55" s="763"/>
      <c r="O55" s="763"/>
      <c r="P55" s="763"/>
      <c r="Q55" s="763"/>
      <c r="R55" s="763"/>
      <c r="S55" s="763"/>
      <c r="T55" s="763"/>
      <c r="U55" s="763"/>
      <c r="V55" s="763"/>
      <c r="W55" s="763"/>
      <c r="X55" s="763"/>
      <c r="Y55" s="763"/>
      <c r="Z55" s="763"/>
    </row>
    <row r="56" ht="12.75" customHeight="1">
      <c r="A56" s="763"/>
      <c r="B56" s="763"/>
      <c r="C56" s="763"/>
      <c r="D56" s="763"/>
      <c r="E56" s="763"/>
      <c r="F56" s="763"/>
      <c r="G56" s="763"/>
      <c r="H56" s="763"/>
      <c r="I56" s="763"/>
      <c r="J56" s="763"/>
      <c r="K56" s="763"/>
      <c r="L56" s="763"/>
      <c r="M56" s="763"/>
      <c r="N56" s="763"/>
      <c r="O56" s="763"/>
      <c r="P56" s="763"/>
      <c r="Q56" s="763"/>
      <c r="R56" s="763"/>
      <c r="S56" s="763"/>
      <c r="T56" s="763"/>
      <c r="U56" s="763"/>
      <c r="V56" s="763"/>
      <c r="W56" s="763"/>
      <c r="X56" s="763"/>
      <c r="Y56" s="763"/>
      <c r="Z56" s="763"/>
    </row>
    <row r="57" ht="12.75" customHeight="1">
      <c r="A57" s="763"/>
      <c r="B57" s="763"/>
      <c r="C57" s="763"/>
      <c r="D57" s="763"/>
      <c r="E57" s="763"/>
      <c r="F57" s="763"/>
      <c r="G57" s="763"/>
      <c r="H57" s="763"/>
      <c r="I57" s="763"/>
      <c r="J57" s="763"/>
      <c r="K57" s="763"/>
      <c r="L57" s="763"/>
      <c r="M57" s="763"/>
      <c r="N57" s="763"/>
      <c r="O57" s="763"/>
      <c r="P57" s="763"/>
      <c r="Q57" s="763"/>
      <c r="R57" s="763"/>
      <c r="S57" s="763"/>
      <c r="T57" s="763"/>
      <c r="U57" s="763"/>
      <c r="V57" s="763"/>
      <c r="W57" s="763"/>
      <c r="X57" s="763"/>
      <c r="Y57" s="763"/>
      <c r="Z57" s="763"/>
    </row>
    <row r="58" ht="12.75" customHeight="1">
      <c r="A58" s="763"/>
      <c r="B58" s="763"/>
      <c r="C58" s="763"/>
      <c r="D58" s="763"/>
      <c r="E58" s="763"/>
      <c r="F58" s="763"/>
      <c r="G58" s="763"/>
      <c r="H58" s="763"/>
      <c r="I58" s="763"/>
      <c r="J58" s="763"/>
      <c r="K58" s="763"/>
      <c r="L58" s="763"/>
      <c r="M58" s="763"/>
      <c r="N58" s="763"/>
      <c r="O58" s="763"/>
      <c r="P58" s="763"/>
      <c r="Q58" s="763"/>
      <c r="R58" s="763"/>
      <c r="S58" s="763"/>
      <c r="T58" s="763"/>
      <c r="U58" s="763"/>
      <c r="V58" s="763"/>
      <c r="W58" s="763"/>
      <c r="X58" s="763"/>
      <c r="Y58" s="763"/>
      <c r="Z58" s="763"/>
    </row>
    <row r="59" ht="12.75" customHeight="1">
      <c r="A59" s="763"/>
      <c r="B59" s="763"/>
      <c r="C59" s="763"/>
      <c r="D59" s="763"/>
      <c r="E59" s="763"/>
      <c r="F59" s="763"/>
      <c r="G59" s="763"/>
      <c r="H59" s="763"/>
      <c r="I59" s="763"/>
      <c r="J59" s="763"/>
      <c r="K59" s="763"/>
      <c r="L59" s="763"/>
      <c r="M59" s="763"/>
      <c r="N59" s="763"/>
      <c r="O59" s="763"/>
      <c r="P59" s="763"/>
      <c r="Q59" s="763"/>
      <c r="R59" s="763"/>
      <c r="S59" s="763"/>
      <c r="T59" s="763"/>
      <c r="U59" s="763"/>
      <c r="V59" s="763"/>
      <c r="W59" s="763"/>
      <c r="X59" s="763"/>
      <c r="Y59" s="763"/>
      <c r="Z59" s="763"/>
    </row>
    <row r="60" ht="12.75" customHeight="1">
      <c r="A60" s="763"/>
      <c r="B60" s="763"/>
      <c r="C60" s="763"/>
      <c r="D60" s="763"/>
      <c r="E60" s="763"/>
      <c r="F60" s="763"/>
      <c r="G60" s="763"/>
      <c r="H60" s="763"/>
      <c r="I60" s="763"/>
      <c r="J60" s="763"/>
      <c r="K60" s="763"/>
      <c r="L60" s="763"/>
      <c r="M60" s="763"/>
      <c r="N60" s="763"/>
      <c r="O60" s="763"/>
      <c r="P60" s="763"/>
      <c r="Q60" s="763"/>
      <c r="R60" s="763"/>
      <c r="S60" s="763"/>
      <c r="T60" s="763"/>
      <c r="U60" s="763"/>
      <c r="V60" s="763"/>
      <c r="W60" s="763"/>
      <c r="X60" s="763"/>
      <c r="Y60" s="763"/>
      <c r="Z60" s="763"/>
    </row>
    <row r="61" ht="12.75" customHeight="1">
      <c r="A61" s="763"/>
      <c r="B61" s="763"/>
      <c r="C61" s="763"/>
      <c r="D61" s="763"/>
      <c r="E61" s="763"/>
      <c r="F61" s="763"/>
      <c r="G61" s="763"/>
      <c r="H61" s="763"/>
      <c r="I61" s="763"/>
      <c r="J61" s="763"/>
      <c r="K61" s="763"/>
      <c r="L61" s="763"/>
      <c r="M61" s="763"/>
      <c r="N61" s="763"/>
      <c r="O61" s="763"/>
      <c r="P61" s="763"/>
      <c r="Q61" s="763"/>
      <c r="R61" s="763"/>
      <c r="S61" s="763"/>
      <c r="T61" s="763"/>
      <c r="U61" s="763"/>
      <c r="V61" s="763"/>
      <c r="W61" s="763"/>
      <c r="X61" s="763"/>
      <c r="Y61" s="763"/>
      <c r="Z61" s="763"/>
    </row>
    <row r="62" ht="12.75" customHeight="1">
      <c r="A62" s="763"/>
      <c r="B62" s="763"/>
      <c r="C62" s="763"/>
      <c r="D62" s="763"/>
      <c r="E62" s="763"/>
      <c r="F62" s="763"/>
      <c r="G62" s="763"/>
      <c r="H62" s="763"/>
      <c r="I62" s="763"/>
      <c r="J62" s="763"/>
      <c r="K62" s="763"/>
      <c r="L62" s="763"/>
      <c r="M62" s="763"/>
      <c r="N62" s="763"/>
      <c r="O62" s="763"/>
      <c r="P62" s="763"/>
      <c r="Q62" s="763"/>
      <c r="R62" s="763"/>
      <c r="S62" s="763"/>
      <c r="T62" s="763"/>
      <c r="U62" s="763"/>
      <c r="V62" s="763"/>
      <c r="W62" s="763"/>
      <c r="X62" s="763"/>
      <c r="Y62" s="763"/>
      <c r="Z62" s="763"/>
    </row>
    <row r="63" ht="12.75" customHeight="1">
      <c r="A63" s="763"/>
      <c r="B63" s="763"/>
      <c r="C63" s="763"/>
      <c r="D63" s="763"/>
      <c r="E63" s="763"/>
      <c r="F63" s="763"/>
      <c r="G63" s="763"/>
      <c r="H63" s="763"/>
      <c r="I63" s="763"/>
      <c r="J63" s="763"/>
      <c r="K63" s="763"/>
      <c r="L63" s="763"/>
      <c r="M63" s="763"/>
      <c r="N63" s="763"/>
      <c r="O63" s="763"/>
      <c r="P63" s="763"/>
      <c r="Q63" s="763"/>
      <c r="R63" s="763"/>
      <c r="S63" s="763"/>
      <c r="T63" s="763"/>
      <c r="U63" s="763"/>
      <c r="V63" s="763"/>
      <c r="W63" s="763"/>
      <c r="X63" s="763"/>
      <c r="Y63" s="763"/>
      <c r="Z63" s="763"/>
    </row>
    <row r="64" ht="12.75" customHeight="1">
      <c r="A64" s="763"/>
      <c r="B64" s="763"/>
      <c r="C64" s="763"/>
      <c r="D64" s="763"/>
      <c r="E64" s="763"/>
      <c r="F64" s="763"/>
      <c r="G64" s="763"/>
      <c r="H64" s="763"/>
      <c r="I64" s="763"/>
      <c r="J64" s="763"/>
      <c r="K64" s="763"/>
      <c r="L64" s="763"/>
      <c r="M64" s="763"/>
      <c r="N64" s="763"/>
      <c r="O64" s="763"/>
      <c r="P64" s="763"/>
      <c r="Q64" s="763"/>
      <c r="R64" s="763"/>
      <c r="S64" s="763"/>
      <c r="T64" s="763"/>
      <c r="U64" s="763"/>
      <c r="V64" s="763"/>
      <c r="W64" s="763"/>
      <c r="X64" s="763"/>
      <c r="Y64" s="763"/>
      <c r="Z64" s="763"/>
    </row>
    <row r="65" ht="12.75" customHeight="1">
      <c r="A65" s="763"/>
      <c r="B65" s="763"/>
      <c r="C65" s="763"/>
      <c r="D65" s="763"/>
      <c r="E65" s="763"/>
      <c r="F65" s="763"/>
      <c r="G65" s="763"/>
      <c r="H65" s="763"/>
      <c r="I65" s="763"/>
      <c r="J65" s="763"/>
      <c r="K65" s="763"/>
      <c r="L65" s="763"/>
      <c r="M65" s="763"/>
      <c r="N65" s="763"/>
      <c r="O65" s="763"/>
      <c r="P65" s="763"/>
      <c r="Q65" s="763"/>
      <c r="R65" s="763"/>
      <c r="S65" s="763"/>
      <c r="T65" s="763"/>
      <c r="U65" s="763"/>
      <c r="V65" s="763"/>
      <c r="W65" s="763"/>
      <c r="X65" s="763"/>
      <c r="Y65" s="763"/>
      <c r="Z65" s="763"/>
    </row>
    <row r="66" ht="12.75" customHeight="1">
      <c r="A66" s="763"/>
      <c r="B66" s="763"/>
      <c r="C66" s="763"/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3"/>
      <c r="Q66" s="763"/>
      <c r="R66" s="763"/>
      <c r="S66" s="763"/>
      <c r="T66" s="763"/>
      <c r="U66" s="763"/>
      <c r="V66" s="763"/>
      <c r="W66" s="763"/>
      <c r="X66" s="763"/>
      <c r="Y66" s="763"/>
      <c r="Z66" s="763"/>
    </row>
    <row r="67" ht="12.75" customHeight="1">
      <c r="A67" s="763"/>
      <c r="B67" s="763"/>
      <c r="C67" s="763"/>
      <c r="D67" s="763"/>
      <c r="E67" s="763"/>
      <c r="F67" s="763"/>
      <c r="G67" s="763"/>
      <c r="H67" s="763"/>
      <c r="I67" s="763"/>
      <c r="J67" s="763"/>
      <c r="K67" s="763"/>
      <c r="L67" s="763"/>
      <c r="M67" s="763"/>
      <c r="N67" s="763"/>
      <c r="O67" s="763"/>
      <c r="P67" s="763"/>
      <c r="Q67" s="763"/>
      <c r="R67" s="763"/>
      <c r="S67" s="763"/>
      <c r="T67" s="763"/>
      <c r="U67" s="763"/>
      <c r="V67" s="763"/>
      <c r="W67" s="763"/>
      <c r="X67" s="763"/>
      <c r="Y67" s="763"/>
      <c r="Z67" s="763"/>
    </row>
    <row r="68" ht="12.75" customHeight="1">
      <c r="A68" s="763"/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3"/>
      <c r="N68" s="763"/>
      <c r="O68" s="763"/>
      <c r="P68" s="763"/>
      <c r="Q68" s="763"/>
      <c r="R68" s="763"/>
      <c r="S68" s="763"/>
      <c r="T68" s="763"/>
      <c r="U68" s="763"/>
      <c r="V68" s="763"/>
      <c r="W68" s="763"/>
      <c r="X68" s="763"/>
      <c r="Y68" s="763"/>
      <c r="Z68" s="763"/>
    </row>
    <row r="69" ht="12.75" customHeight="1">
      <c r="A69" s="763"/>
      <c r="B69" s="763"/>
      <c r="C69" s="763"/>
      <c r="D69" s="763"/>
      <c r="E69" s="763"/>
      <c r="F69" s="763"/>
      <c r="G69" s="763"/>
      <c r="H69" s="763"/>
      <c r="I69" s="763"/>
      <c r="J69" s="763"/>
      <c r="K69" s="763"/>
      <c r="L69" s="763"/>
      <c r="M69" s="763"/>
      <c r="N69" s="763"/>
      <c r="O69" s="763"/>
      <c r="P69" s="763"/>
      <c r="Q69" s="763"/>
      <c r="R69" s="763"/>
      <c r="S69" s="763"/>
      <c r="T69" s="763"/>
      <c r="U69" s="763"/>
      <c r="V69" s="763"/>
      <c r="W69" s="763"/>
      <c r="X69" s="763"/>
      <c r="Y69" s="763"/>
      <c r="Z69" s="763"/>
    </row>
    <row r="70" ht="12.75" customHeight="1">
      <c r="A70" s="763"/>
      <c r="B70" s="763"/>
      <c r="C70" s="763"/>
      <c r="D70" s="763"/>
      <c r="E70" s="763"/>
      <c r="F70" s="763"/>
      <c r="G70" s="763"/>
      <c r="H70" s="763"/>
      <c r="I70" s="763"/>
      <c r="J70" s="763"/>
      <c r="K70" s="763"/>
      <c r="L70" s="763"/>
      <c r="M70" s="763"/>
      <c r="N70" s="763"/>
      <c r="O70" s="763"/>
      <c r="P70" s="763"/>
      <c r="Q70" s="763"/>
      <c r="R70" s="763"/>
      <c r="S70" s="763"/>
      <c r="T70" s="763"/>
      <c r="U70" s="763"/>
      <c r="V70" s="763"/>
      <c r="W70" s="763"/>
      <c r="X70" s="763"/>
      <c r="Y70" s="763"/>
      <c r="Z70" s="763"/>
    </row>
    <row r="71" ht="12.75" customHeight="1">
      <c r="A71" s="763"/>
      <c r="B71" s="763"/>
      <c r="C71" s="763"/>
      <c r="D71" s="763"/>
      <c r="E71" s="763"/>
      <c r="F71" s="763"/>
      <c r="G71" s="763"/>
      <c r="H71" s="763"/>
      <c r="I71" s="763"/>
      <c r="J71" s="763"/>
      <c r="K71" s="763"/>
      <c r="L71" s="763"/>
      <c r="M71" s="763"/>
      <c r="N71" s="763"/>
      <c r="O71" s="763"/>
      <c r="P71" s="763"/>
      <c r="Q71" s="763"/>
      <c r="R71" s="763"/>
      <c r="S71" s="763"/>
      <c r="T71" s="763"/>
      <c r="U71" s="763"/>
      <c r="V71" s="763"/>
      <c r="W71" s="763"/>
      <c r="X71" s="763"/>
      <c r="Y71" s="763"/>
      <c r="Z71" s="763"/>
    </row>
    <row r="72" ht="12.75" customHeight="1">
      <c r="A72" s="763"/>
      <c r="B72" s="763"/>
      <c r="C72" s="763"/>
      <c r="D72" s="763"/>
      <c r="E72" s="763"/>
      <c r="F72" s="763"/>
      <c r="G72" s="763"/>
      <c r="H72" s="763"/>
      <c r="I72" s="763"/>
      <c r="J72" s="763"/>
      <c r="K72" s="763"/>
      <c r="L72" s="763"/>
      <c r="M72" s="763"/>
      <c r="N72" s="763"/>
      <c r="O72" s="763"/>
      <c r="P72" s="763"/>
      <c r="Q72" s="763"/>
      <c r="R72" s="763"/>
      <c r="S72" s="763"/>
      <c r="T72" s="763"/>
      <c r="U72" s="763"/>
      <c r="V72" s="763"/>
      <c r="W72" s="763"/>
      <c r="X72" s="763"/>
      <c r="Y72" s="763"/>
      <c r="Z72" s="763"/>
    </row>
    <row r="73" ht="12.75" customHeight="1">
      <c r="A73" s="763"/>
      <c r="B73" s="763"/>
      <c r="C73" s="763"/>
      <c r="D73" s="763"/>
      <c r="E73" s="763"/>
      <c r="F73" s="763"/>
      <c r="G73" s="763"/>
      <c r="H73" s="763"/>
      <c r="I73" s="763"/>
      <c r="J73" s="763"/>
      <c r="K73" s="763"/>
      <c r="L73" s="763"/>
      <c r="M73" s="763"/>
      <c r="N73" s="763"/>
      <c r="O73" s="763"/>
      <c r="P73" s="763"/>
      <c r="Q73" s="763"/>
      <c r="R73" s="763"/>
      <c r="S73" s="763"/>
      <c r="T73" s="763"/>
      <c r="U73" s="763"/>
      <c r="V73" s="763"/>
      <c r="W73" s="763"/>
      <c r="X73" s="763"/>
      <c r="Y73" s="763"/>
      <c r="Z73" s="763"/>
    </row>
    <row r="74" ht="12.75" customHeight="1">
      <c r="A74" s="763"/>
      <c r="B74" s="763"/>
      <c r="C74" s="763"/>
      <c r="D74" s="763"/>
      <c r="E74" s="763"/>
      <c r="F74" s="763"/>
      <c r="G74" s="763"/>
      <c r="H74" s="763"/>
      <c r="I74" s="763"/>
      <c r="J74" s="763"/>
      <c r="K74" s="763"/>
      <c r="L74" s="763"/>
      <c r="M74" s="763"/>
      <c r="N74" s="763"/>
      <c r="O74" s="763"/>
      <c r="P74" s="763"/>
      <c r="Q74" s="763"/>
      <c r="R74" s="763"/>
      <c r="S74" s="763"/>
      <c r="T74" s="763"/>
      <c r="U74" s="763"/>
      <c r="V74" s="763"/>
      <c r="W74" s="763"/>
      <c r="X74" s="763"/>
      <c r="Y74" s="763"/>
      <c r="Z74" s="763"/>
    </row>
    <row r="75" ht="12.75" customHeight="1">
      <c r="A75" s="763"/>
      <c r="B75" s="763"/>
      <c r="C75" s="763"/>
      <c r="D75" s="763"/>
      <c r="E75" s="763"/>
      <c r="F75" s="763"/>
      <c r="G75" s="763"/>
      <c r="H75" s="763"/>
      <c r="I75" s="763"/>
      <c r="J75" s="763"/>
      <c r="K75" s="763"/>
      <c r="L75" s="763"/>
      <c r="M75" s="763"/>
      <c r="N75" s="763"/>
      <c r="O75" s="763"/>
      <c r="P75" s="763"/>
      <c r="Q75" s="763"/>
      <c r="R75" s="763"/>
      <c r="S75" s="763"/>
      <c r="T75" s="763"/>
      <c r="U75" s="763"/>
      <c r="V75" s="763"/>
      <c r="W75" s="763"/>
      <c r="X75" s="763"/>
      <c r="Y75" s="763"/>
      <c r="Z75" s="763"/>
    </row>
    <row r="76" ht="12.75" customHeight="1">
      <c r="A76" s="763"/>
      <c r="B76" s="763"/>
      <c r="C76" s="763"/>
      <c r="D76" s="763"/>
      <c r="E76" s="763"/>
      <c r="F76" s="763"/>
      <c r="G76" s="763"/>
      <c r="H76" s="763"/>
      <c r="I76" s="763"/>
      <c r="J76" s="763"/>
      <c r="K76" s="763"/>
      <c r="L76" s="763"/>
      <c r="M76" s="763"/>
      <c r="N76" s="763"/>
      <c r="O76" s="763"/>
      <c r="P76" s="763"/>
      <c r="Q76" s="763"/>
      <c r="R76" s="763"/>
      <c r="S76" s="763"/>
      <c r="T76" s="763"/>
      <c r="U76" s="763"/>
      <c r="V76" s="763"/>
      <c r="W76" s="763"/>
      <c r="X76" s="763"/>
      <c r="Y76" s="763"/>
      <c r="Z76" s="763"/>
    </row>
    <row r="77" ht="12.75" customHeight="1">
      <c r="A77" s="763"/>
      <c r="B77" s="763"/>
      <c r="C77" s="763"/>
      <c r="D77" s="763"/>
      <c r="E77" s="763"/>
      <c r="F77" s="763"/>
      <c r="G77" s="763"/>
      <c r="H77" s="763"/>
      <c r="I77" s="763"/>
      <c r="J77" s="763"/>
      <c r="K77" s="763"/>
      <c r="L77" s="763"/>
      <c r="M77" s="763"/>
      <c r="N77" s="763"/>
      <c r="O77" s="763"/>
      <c r="P77" s="763"/>
      <c r="Q77" s="763"/>
      <c r="R77" s="763"/>
      <c r="S77" s="763"/>
      <c r="T77" s="763"/>
      <c r="U77" s="763"/>
      <c r="V77" s="763"/>
      <c r="W77" s="763"/>
      <c r="X77" s="763"/>
      <c r="Y77" s="763"/>
      <c r="Z77" s="763"/>
    </row>
    <row r="78" ht="12.75" customHeight="1">
      <c r="A78" s="763"/>
      <c r="B78" s="763"/>
      <c r="C78" s="763"/>
      <c r="D78" s="763"/>
      <c r="E78" s="763"/>
      <c r="F78" s="763"/>
      <c r="G78" s="763"/>
      <c r="H78" s="763"/>
      <c r="I78" s="763"/>
      <c r="J78" s="763"/>
      <c r="K78" s="763"/>
      <c r="L78" s="763"/>
      <c r="M78" s="763"/>
      <c r="N78" s="763"/>
      <c r="O78" s="763"/>
      <c r="P78" s="763"/>
      <c r="Q78" s="763"/>
      <c r="R78" s="763"/>
      <c r="S78" s="763"/>
      <c r="T78" s="763"/>
      <c r="U78" s="763"/>
      <c r="V78" s="763"/>
      <c r="W78" s="763"/>
      <c r="X78" s="763"/>
      <c r="Y78" s="763"/>
      <c r="Z78" s="763"/>
    </row>
    <row r="79" ht="12.75" customHeight="1">
      <c r="A79" s="763"/>
      <c r="B79" s="763"/>
      <c r="C79" s="763"/>
      <c r="D79" s="763"/>
      <c r="E79" s="763"/>
      <c r="F79" s="763"/>
      <c r="G79" s="763"/>
      <c r="H79" s="763"/>
      <c r="I79" s="763"/>
      <c r="J79" s="763"/>
      <c r="K79" s="763"/>
      <c r="L79" s="763"/>
      <c r="M79" s="763"/>
      <c r="N79" s="763"/>
      <c r="O79" s="763"/>
      <c r="P79" s="763"/>
      <c r="Q79" s="763"/>
      <c r="R79" s="763"/>
      <c r="S79" s="763"/>
      <c r="T79" s="763"/>
      <c r="U79" s="763"/>
      <c r="V79" s="763"/>
      <c r="W79" s="763"/>
      <c r="X79" s="763"/>
      <c r="Y79" s="763"/>
      <c r="Z79" s="763"/>
    </row>
    <row r="80" ht="12.75" customHeight="1">
      <c r="A80" s="763"/>
      <c r="B80" s="763"/>
      <c r="C80" s="763"/>
      <c r="D80" s="763"/>
      <c r="E80" s="763"/>
      <c r="F80" s="763"/>
      <c r="G80" s="763"/>
      <c r="H80" s="763"/>
      <c r="I80" s="763"/>
      <c r="J80" s="763"/>
      <c r="K80" s="763"/>
      <c r="L80" s="763"/>
      <c r="M80" s="763"/>
      <c r="N80" s="763"/>
      <c r="O80" s="763"/>
      <c r="P80" s="763"/>
      <c r="Q80" s="763"/>
      <c r="R80" s="763"/>
      <c r="S80" s="763"/>
      <c r="T80" s="763"/>
      <c r="U80" s="763"/>
      <c r="V80" s="763"/>
      <c r="W80" s="763"/>
      <c r="X80" s="763"/>
      <c r="Y80" s="763"/>
      <c r="Z80" s="763"/>
    </row>
    <row r="81" ht="12.75" customHeight="1">
      <c r="A81" s="763"/>
      <c r="B81" s="763"/>
      <c r="C81" s="763"/>
      <c r="D81" s="763"/>
      <c r="E81" s="763"/>
      <c r="F81" s="763"/>
      <c r="G81" s="763"/>
      <c r="H81" s="763"/>
      <c r="I81" s="763"/>
      <c r="J81" s="763"/>
      <c r="K81" s="763"/>
      <c r="L81" s="763"/>
      <c r="M81" s="763"/>
      <c r="N81" s="763"/>
      <c r="O81" s="763"/>
      <c r="P81" s="763"/>
      <c r="Q81" s="763"/>
      <c r="R81" s="763"/>
      <c r="S81" s="763"/>
      <c r="T81" s="763"/>
      <c r="U81" s="763"/>
      <c r="V81" s="763"/>
      <c r="W81" s="763"/>
      <c r="X81" s="763"/>
      <c r="Y81" s="763"/>
      <c r="Z81" s="763"/>
    </row>
    <row r="82" ht="12.75" customHeight="1">
      <c r="A82" s="763"/>
      <c r="B82" s="763"/>
      <c r="C82" s="763"/>
      <c r="D82" s="763"/>
      <c r="E82" s="763"/>
      <c r="F82" s="763"/>
      <c r="G82" s="763"/>
      <c r="H82" s="763"/>
      <c r="I82" s="763"/>
      <c r="J82" s="763"/>
      <c r="K82" s="763"/>
      <c r="L82" s="763"/>
      <c r="M82" s="763"/>
      <c r="N82" s="763"/>
      <c r="O82" s="763"/>
      <c r="P82" s="763"/>
      <c r="Q82" s="763"/>
      <c r="R82" s="763"/>
      <c r="S82" s="763"/>
      <c r="T82" s="763"/>
      <c r="U82" s="763"/>
      <c r="V82" s="763"/>
      <c r="W82" s="763"/>
      <c r="X82" s="763"/>
      <c r="Y82" s="763"/>
      <c r="Z82" s="763"/>
    </row>
    <row r="83" ht="12.75" customHeight="1">
      <c r="A83" s="763"/>
      <c r="B83" s="763"/>
      <c r="C83" s="763"/>
      <c r="D83" s="763"/>
      <c r="E83" s="763"/>
      <c r="F83" s="763"/>
      <c r="G83" s="763"/>
      <c r="H83" s="763"/>
      <c r="I83" s="763"/>
      <c r="J83" s="763"/>
      <c r="K83" s="763"/>
      <c r="L83" s="763"/>
      <c r="M83" s="763"/>
      <c r="N83" s="763"/>
      <c r="O83" s="763"/>
      <c r="P83" s="763"/>
      <c r="Q83" s="763"/>
      <c r="R83" s="763"/>
      <c r="S83" s="763"/>
      <c r="T83" s="763"/>
      <c r="U83" s="763"/>
      <c r="V83" s="763"/>
      <c r="W83" s="763"/>
      <c r="X83" s="763"/>
      <c r="Y83" s="763"/>
      <c r="Z83" s="763"/>
    </row>
    <row r="84" ht="12.75" customHeight="1">
      <c r="A84" s="763"/>
      <c r="B84" s="763"/>
      <c r="C84" s="763"/>
      <c r="D84" s="763"/>
      <c r="E84" s="763"/>
      <c r="F84" s="763"/>
      <c r="G84" s="763"/>
      <c r="H84" s="763"/>
      <c r="I84" s="763"/>
      <c r="J84" s="763"/>
      <c r="K84" s="763"/>
      <c r="L84" s="763"/>
      <c r="M84" s="763"/>
      <c r="N84" s="763"/>
      <c r="O84" s="763"/>
      <c r="P84" s="763"/>
      <c r="Q84" s="763"/>
      <c r="R84" s="763"/>
      <c r="S84" s="763"/>
      <c r="T84" s="763"/>
      <c r="U84" s="763"/>
      <c r="V84" s="763"/>
      <c r="W84" s="763"/>
      <c r="X84" s="763"/>
      <c r="Y84" s="763"/>
      <c r="Z84" s="763"/>
    </row>
    <row r="85" ht="12.75" customHeight="1">
      <c r="A85" s="763"/>
      <c r="B85" s="763"/>
      <c r="C85" s="763"/>
      <c r="D85" s="763"/>
      <c r="E85" s="763"/>
      <c r="F85" s="763"/>
      <c r="G85" s="763"/>
      <c r="H85" s="763"/>
      <c r="I85" s="763"/>
      <c r="J85" s="763"/>
      <c r="K85" s="763"/>
      <c r="L85" s="763"/>
      <c r="M85" s="763"/>
      <c r="N85" s="763"/>
      <c r="O85" s="763"/>
      <c r="P85" s="763"/>
      <c r="Q85" s="763"/>
      <c r="R85" s="763"/>
      <c r="S85" s="763"/>
      <c r="T85" s="763"/>
      <c r="U85" s="763"/>
      <c r="V85" s="763"/>
      <c r="W85" s="763"/>
      <c r="X85" s="763"/>
      <c r="Y85" s="763"/>
      <c r="Z85" s="763"/>
    </row>
    <row r="86" ht="12.75" customHeight="1">
      <c r="A86" s="763"/>
      <c r="B86" s="763"/>
      <c r="C86" s="763"/>
      <c r="D86" s="763"/>
      <c r="E86" s="763"/>
      <c r="F86" s="763"/>
      <c r="G86" s="763"/>
      <c r="H86" s="763"/>
      <c r="I86" s="763"/>
      <c r="J86" s="763"/>
      <c r="K86" s="763"/>
      <c r="L86" s="763"/>
      <c r="M86" s="763"/>
      <c r="N86" s="763"/>
      <c r="O86" s="763"/>
      <c r="P86" s="763"/>
      <c r="Q86" s="763"/>
      <c r="R86" s="763"/>
      <c r="S86" s="763"/>
      <c r="T86" s="763"/>
      <c r="U86" s="763"/>
      <c r="V86" s="763"/>
      <c r="W86" s="763"/>
      <c r="X86" s="763"/>
      <c r="Y86" s="763"/>
      <c r="Z86" s="763"/>
    </row>
    <row r="87" ht="12.75" customHeight="1">
      <c r="A87" s="763"/>
      <c r="B87" s="763"/>
      <c r="C87" s="763"/>
      <c r="D87" s="763"/>
      <c r="E87" s="763"/>
      <c r="F87" s="763"/>
      <c r="G87" s="763"/>
      <c r="H87" s="763"/>
      <c r="I87" s="763"/>
      <c r="J87" s="763"/>
      <c r="K87" s="763"/>
      <c r="L87" s="763"/>
      <c r="M87" s="763"/>
      <c r="N87" s="763"/>
      <c r="O87" s="763"/>
      <c r="P87" s="763"/>
      <c r="Q87" s="763"/>
      <c r="R87" s="763"/>
      <c r="S87" s="763"/>
      <c r="T87" s="763"/>
      <c r="U87" s="763"/>
      <c r="V87" s="763"/>
      <c r="W87" s="763"/>
      <c r="X87" s="763"/>
      <c r="Y87" s="763"/>
      <c r="Z87" s="763"/>
    </row>
    <row r="88" ht="12.75" customHeight="1">
      <c r="A88" s="763"/>
      <c r="B88" s="763"/>
      <c r="C88" s="763"/>
      <c r="D88" s="763"/>
      <c r="E88" s="763"/>
      <c r="F88" s="763"/>
      <c r="G88" s="763"/>
      <c r="H88" s="763"/>
      <c r="I88" s="763"/>
      <c r="J88" s="763"/>
      <c r="K88" s="763"/>
      <c r="L88" s="763"/>
      <c r="M88" s="763"/>
      <c r="N88" s="763"/>
      <c r="O88" s="763"/>
      <c r="P88" s="763"/>
      <c r="Q88" s="763"/>
      <c r="R88" s="763"/>
      <c r="S88" s="763"/>
      <c r="T88" s="763"/>
      <c r="U88" s="763"/>
      <c r="V88" s="763"/>
      <c r="W88" s="763"/>
      <c r="X88" s="763"/>
      <c r="Y88" s="763"/>
      <c r="Z88" s="763"/>
    </row>
    <row r="89" ht="12.75" customHeight="1">
      <c r="A89" s="763"/>
      <c r="B89" s="763"/>
      <c r="C89" s="763"/>
      <c r="D89" s="763"/>
      <c r="E89" s="763"/>
      <c r="F89" s="763"/>
      <c r="G89" s="763"/>
      <c r="H89" s="763"/>
      <c r="I89" s="763"/>
      <c r="J89" s="763"/>
      <c r="K89" s="763"/>
      <c r="L89" s="763"/>
      <c r="M89" s="763"/>
      <c r="N89" s="763"/>
      <c r="O89" s="763"/>
      <c r="P89" s="763"/>
      <c r="Q89" s="763"/>
      <c r="R89" s="763"/>
      <c r="S89" s="763"/>
      <c r="T89" s="763"/>
      <c r="U89" s="763"/>
      <c r="V89" s="763"/>
      <c r="W89" s="763"/>
      <c r="X89" s="763"/>
      <c r="Y89" s="763"/>
      <c r="Z89" s="763"/>
    </row>
    <row r="90" ht="12.75" customHeight="1">
      <c r="A90" s="763"/>
      <c r="B90" s="763"/>
      <c r="C90" s="763"/>
      <c r="D90" s="763"/>
      <c r="E90" s="763"/>
      <c r="F90" s="763"/>
      <c r="G90" s="763"/>
      <c r="H90" s="763"/>
      <c r="I90" s="763"/>
      <c r="J90" s="763"/>
      <c r="K90" s="763"/>
      <c r="L90" s="763"/>
      <c r="M90" s="763"/>
      <c r="N90" s="763"/>
      <c r="O90" s="763"/>
      <c r="P90" s="763"/>
      <c r="Q90" s="763"/>
      <c r="R90" s="763"/>
      <c r="S90" s="763"/>
      <c r="T90" s="763"/>
      <c r="U90" s="763"/>
      <c r="V90" s="763"/>
      <c r="W90" s="763"/>
      <c r="X90" s="763"/>
      <c r="Y90" s="763"/>
      <c r="Z90" s="763"/>
    </row>
    <row r="91" ht="12.75" customHeight="1">
      <c r="A91" s="763"/>
      <c r="B91" s="763"/>
      <c r="C91" s="763"/>
      <c r="D91" s="763"/>
      <c r="E91" s="763"/>
      <c r="F91" s="763"/>
      <c r="G91" s="763"/>
      <c r="H91" s="763"/>
      <c r="I91" s="763"/>
      <c r="J91" s="763"/>
      <c r="K91" s="763"/>
      <c r="L91" s="763"/>
      <c r="M91" s="763"/>
      <c r="N91" s="763"/>
      <c r="O91" s="763"/>
      <c r="P91" s="763"/>
      <c r="Q91" s="763"/>
      <c r="R91" s="763"/>
      <c r="S91" s="763"/>
      <c r="T91" s="763"/>
      <c r="U91" s="763"/>
      <c r="V91" s="763"/>
      <c r="W91" s="763"/>
      <c r="X91" s="763"/>
      <c r="Y91" s="763"/>
      <c r="Z91" s="763"/>
    </row>
    <row r="92" ht="12.75" customHeight="1">
      <c r="A92" s="763"/>
      <c r="B92" s="763"/>
      <c r="C92" s="763"/>
      <c r="D92" s="763"/>
      <c r="E92" s="763"/>
      <c r="F92" s="763"/>
      <c r="G92" s="763"/>
      <c r="H92" s="763"/>
      <c r="I92" s="763"/>
      <c r="J92" s="763"/>
      <c r="K92" s="763"/>
      <c r="L92" s="763"/>
      <c r="M92" s="763"/>
      <c r="N92" s="763"/>
      <c r="O92" s="763"/>
      <c r="P92" s="763"/>
      <c r="Q92" s="763"/>
      <c r="R92" s="763"/>
      <c r="S92" s="763"/>
      <c r="T92" s="763"/>
      <c r="U92" s="763"/>
      <c r="V92" s="763"/>
      <c r="W92" s="763"/>
      <c r="X92" s="763"/>
      <c r="Y92" s="763"/>
      <c r="Z92" s="763"/>
    </row>
    <row r="93" ht="12.75" customHeight="1">
      <c r="A93" s="763"/>
      <c r="B93" s="763"/>
      <c r="C93" s="763"/>
      <c r="D93" s="763"/>
      <c r="E93" s="763"/>
      <c r="F93" s="763"/>
      <c r="G93" s="763"/>
      <c r="H93" s="763"/>
      <c r="I93" s="763"/>
      <c r="J93" s="763"/>
      <c r="K93" s="763"/>
      <c r="L93" s="763"/>
      <c r="M93" s="763"/>
      <c r="N93" s="763"/>
      <c r="O93" s="763"/>
      <c r="P93" s="763"/>
      <c r="Q93" s="763"/>
      <c r="R93" s="763"/>
      <c r="S93" s="763"/>
      <c r="T93" s="763"/>
      <c r="U93" s="763"/>
      <c r="V93" s="763"/>
      <c r="W93" s="763"/>
      <c r="X93" s="763"/>
      <c r="Y93" s="763"/>
      <c r="Z93" s="763"/>
    </row>
    <row r="94" ht="12.75" customHeight="1">
      <c r="A94" s="763"/>
      <c r="B94" s="763"/>
      <c r="C94" s="763"/>
      <c r="D94" s="763"/>
      <c r="E94" s="763"/>
      <c r="F94" s="763"/>
      <c r="G94" s="763"/>
      <c r="H94" s="763"/>
      <c r="I94" s="763"/>
      <c r="J94" s="763"/>
      <c r="K94" s="763"/>
      <c r="L94" s="763"/>
      <c r="M94" s="763"/>
      <c r="N94" s="763"/>
      <c r="O94" s="763"/>
      <c r="P94" s="763"/>
      <c r="Q94" s="763"/>
      <c r="R94" s="763"/>
      <c r="S94" s="763"/>
      <c r="T94" s="763"/>
      <c r="U94" s="763"/>
      <c r="V94" s="763"/>
      <c r="W94" s="763"/>
      <c r="X94" s="763"/>
      <c r="Y94" s="763"/>
      <c r="Z94" s="763"/>
    </row>
    <row r="95" ht="12.75" customHeight="1">
      <c r="A95" s="763"/>
      <c r="B95" s="763"/>
      <c r="C95" s="763"/>
      <c r="D95" s="763"/>
      <c r="E95" s="763"/>
      <c r="F95" s="763"/>
      <c r="G95" s="763"/>
      <c r="H95" s="763"/>
      <c r="I95" s="763"/>
      <c r="J95" s="763"/>
      <c r="K95" s="763"/>
      <c r="L95" s="763"/>
      <c r="M95" s="763"/>
      <c r="N95" s="763"/>
      <c r="O95" s="763"/>
      <c r="P95" s="763"/>
      <c r="Q95" s="763"/>
      <c r="R95" s="763"/>
      <c r="S95" s="763"/>
      <c r="T95" s="763"/>
      <c r="U95" s="763"/>
      <c r="V95" s="763"/>
      <c r="W95" s="763"/>
      <c r="X95" s="763"/>
      <c r="Y95" s="763"/>
      <c r="Z95" s="763"/>
    </row>
    <row r="96" ht="12.75" customHeight="1">
      <c r="A96" s="763"/>
      <c r="B96" s="763"/>
      <c r="C96" s="763"/>
      <c r="D96" s="763"/>
      <c r="E96" s="763"/>
      <c r="F96" s="763"/>
      <c r="G96" s="763"/>
      <c r="H96" s="763"/>
      <c r="I96" s="763"/>
      <c r="J96" s="763"/>
      <c r="K96" s="763"/>
      <c r="L96" s="763"/>
      <c r="M96" s="763"/>
      <c r="N96" s="763"/>
      <c r="O96" s="763"/>
      <c r="P96" s="763"/>
      <c r="Q96" s="763"/>
      <c r="R96" s="763"/>
      <c r="S96" s="763"/>
      <c r="T96" s="763"/>
      <c r="U96" s="763"/>
      <c r="V96" s="763"/>
      <c r="W96" s="763"/>
      <c r="X96" s="763"/>
      <c r="Y96" s="763"/>
      <c r="Z96" s="763"/>
    </row>
    <row r="97" ht="12.75" customHeight="1">
      <c r="A97" s="763"/>
      <c r="B97" s="763"/>
      <c r="C97" s="763"/>
      <c r="D97" s="763"/>
      <c r="E97" s="763"/>
      <c r="F97" s="763"/>
      <c r="G97" s="763"/>
      <c r="H97" s="763"/>
      <c r="I97" s="763"/>
      <c r="J97" s="763"/>
      <c r="K97" s="763"/>
      <c r="L97" s="763"/>
      <c r="M97" s="763"/>
      <c r="N97" s="763"/>
      <c r="O97" s="763"/>
      <c r="P97" s="763"/>
      <c r="Q97" s="763"/>
      <c r="R97" s="763"/>
      <c r="S97" s="763"/>
      <c r="T97" s="763"/>
      <c r="U97" s="763"/>
      <c r="V97" s="763"/>
      <c r="W97" s="763"/>
      <c r="X97" s="763"/>
      <c r="Y97" s="763"/>
      <c r="Z97" s="763"/>
    </row>
    <row r="98" ht="12.75" customHeight="1">
      <c r="A98" s="763"/>
      <c r="B98" s="763"/>
      <c r="C98" s="763"/>
      <c r="D98" s="763"/>
      <c r="E98" s="763"/>
      <c r="F98" s="763"/>
      <c r="G98" s="763"/>
      <c r="H98" s="763"/>
      <c r="I98" s="763"/>
      <c r="J98" s="763"/>
      <c r="K98" s="763"/>
      <c r="L98" s="763"/>
      <c r="M98" s="763"/>
      <c r="N98" s="763"/>
      <c r="O98" s="763"/>
      <c r="P98" s="763"/>
      <c r="Q98" s="763"/>
      <c r="R98" s="763"/>
      <c r="S98" s="763"/>
      <c r="T98" s="763"/>
      <c r="U98" s="763"/>
      <c r="V98" s="763"/>
      <c r="W98" s="763"/>
      <c r="X98" s="763"/>
      <c r="Y98" s="763"/>
      <c r="Z98" s="763"/>
    </row>
    <row r="99" ht="12.75" customHeight="1">
      <c r="A99" s="763"/>
      <c r="B99" s="763"/>
      <c r="C99" s="763"/>
      <c r="D99" s="763"/>
      <c r="E99" s="763"/>
      <c r="F99" s="763"/>
      <c r="G99" s="763"/>
      <c r="H99" s="763"/>
      <c r="I99" s="763"/>
      <c r="J99" s="763"/>
      <c r="K99" s="763"/>
      <c r="L99" s="763"/>
      <c r="M99" s="763"/>
      <c r="N99" s="763"/>
      <c r="O99" s="763"/>
      <c r="P99" s="763"/>
      <c r="Q99" s="763"/>
      <c r="R99" s="763"/>
      <c r="S99" s="763"/>
      <c r="T99" s="763"/>
      <c r="U99" s="763"/>
      <c r="V99" s="763"/>
      <c r="W99" s="763"/>
      <c r="X99" s="763"/>
      <c r="Y99" s="763"/>
      <c r="Z99" s="763"/>
    </row>
    <row r="100" ht="12.75" customHeight="1">
      <c r="A100" s="763"/>
      <c r="B100" s="763"/>
      <c r="C100" s="763"/>
      <c r="D100" s="763"/>
      <c r="E100" s="763"/>
      <c r="F100" s="763"/>
      <c r="G100" s="763"/>
      <c r="H100" s="763"/>
      <c r="I100" s="763"/>
      <c r="J100" s="763"/>
      <c r="K100" s="763"/>
      <c r="L100" s="763"/>
      <c r="M100" s="763"/>
      <c r="N100" s="763"/>
      <c r="O100" s="763"/>
      <c r="P100" s="763"/>
      <c r="Q100" s="763"/>
      <c r="R100" s="763"/>
      <c r="S100" s="763"/>
      <c r="T100" s="763"/>
      <c r="U100" s="763"/>
      <c r="V100" s="763"/>
      <c r="W100" s="763"/>
      <c r="X100" s="763"/>
      <c r="Y100" s="763"/>
      <c r="Z100" s="763"/>
    </row>
    <row r="101" ht="12.75" customHeight="1">
      <c r="A101" s="763"/>
      <c r="B101" s="763"/>
      <c r="C101" s="763"/>
      <c r="D101" s="763"/>
      <c r="E101" s="763"/>
      <c r="F101" s="763"/>
      <c r="G101" s="763"/>
      <c r="H101" s="763"/>
      <c r="I101" s="763"/>
      <c r="J101" s="763"/>
      <c r="K101" s="763"/>
      <c r="L101" s="763"/>
      <c r="M101" s="763"/>
      <c r="N101" s="763"/>
      <c r="O101" s="763"/>
      <c r="P101" s="763"/>
      <c r="Q101" s="763"/>
      <c r="R101" s="763"/>
      <c r="S101" s="763"/>
      <c r="T101" s="763"/>
      <c r="U101" s="763"/>
      <c r="V101" s="763"/>
      <c r="W101" s="763"/>
      <c r="X101" s="763"/>
      <c r="Y101" s="763"/>
      <c r="Z101" s="763"/>
    </row>
    <row r="102" ht="12.75" customHeight="1">
      <c r="A102" s="763"/>
      <c r="B102" s="763"/>
      <c r="C102" s="763"/>
      <c r="D102" s="763"/>
      <c r="E102" s="763"/>
      <c r="F102" s="763"/>
      <c r="G102" s="763"/>
      <c r="H102" s="763"/>
      <c r="I102" s="763"/>
      <c r="J102" s="763"/>
      <c r="K102" s="763"/>
      <c r="L102" s="763"/>
      <c r="M102" s="763"/>
      <c r="N102" s="763"/>
      <c r="O102" s="763"/>
      <c r="P102" s="763"/>
      <c r="Q102" s="763"/>
      <c r="R102" s="763"/>
      <c r="S102" s="763"/>
      <c r="T102" s="763"/>
      <c r="U102" s="763"/>
      <c r="V102" s="763"/>
      <c r="W102" s="763"/>
      <c r="X102" s="763"/>
      <c r="Y102" s="763"/>
      <c r="Z102" s="763"/>
    </row>
    <row r="103" ht="12.75" customHeight="1">
      <c r="A103" s="763"/>
      <c r="B103" s="763"/>
      <c r="C103" s="763"/>
      <c r="D103" s="763"/>
      <c r="E103" s="763"/>
      <c r="F103" s="763"/>
      <c r="G103" s="763"/>
      <c r="H103" s="763"/>
      <c r="I103" s="763"/>
      <c r="J103" s="763"/>
      <c r="K103" s="763"/>
      <c r="L103" s="763"/>
      <c r="M103" s="763"/>
      <c r="N103" s="763"/>
      <c r="O103" s="763"/>
      <c r="P103" s="763"/>
      <c r="Q103" s="763"/>
      <c r="R103" s="763"/>
      <c r="S103" s="763"/>
      <c r="T103" s="763"/>
      <c r="U103" s="763"/>
      <c r="V103" s="763"/>
      <c r="W103" s="763"/>
      <c r="X103" s="763"/>
      <c r="Y103" s="763"/>
      <c r="Z103" s="763"/>
    </row>
    <row r="104" ht="12.75" customHeight="1">
      <c r="A104" s="763"/>
      <c r="B104" s="763"/>
      <c r="C104" s="763"/>
      <c r="D104" s="763"/>
      <c r="E104" s="763"/>
      <c r="F104" s="763"/>
      <c r="G104" s="763"/>
      <c r="H104" s="763"/>
      <c r="I104" s="763"/>
      <c r="J104" s="763"/>
      <c r="K104" s="763"/>
      <c r="L104" s="763"/>
      <c r="M104" s="763"/>
      <c r="N104" s="763"/>
      <c r="O104" s="763"/>
      <c r="P104" s="763"/>
      <c r="Q104" s="763"/>
      <c r="R104" s="763"/>
      <c r="S104" s="763"/>
      <c r="T104" s="763"/>
      <c r="U104" s="763"/>
      <c r="V104" s="763"/>
      <c r="W104" s="763"/>
      <c r="X104" s="763"/>
      <c r="Y104" s="763"/>
      <c r="Z104" s="763"/>
    </row>
    <row r="105" ht="12.75" customHeight="1">
      <c r="A105" s="763"/>
      <c r="B105" s="763"/>
      <c r="C105" s="763"/>
      <c r="D105" s="763"/>
      <c r="E105" s="763"/>
      <c r="F105" s="763"/>
      <c r="G105" s="763"/>
      <c r="H105" s="763"/>
      <c r="I105" s="763"/>
      <c r="J105" s="763"/>
      <c r="K105" s="763"/>
      <c r="L105" s="763"/>
      <c r="M105" s="763"/>
      <c r="N105" s="763"/>
      <c r="O105" s="763"/>
      <c r="P105" s="763"/>
      <c r="Q105" s="763"/>
      <c r="R105" s="763"/>
      <c r="S105" s="763"/>
      <c r="T105" s="763"/>
      <c r="U105" s="763"/>
      <c r="V105" s="763"/>
      <c r="W105" s="763"/>
      <c r="X105" s="763"/>
      <c r="Y105" s="763"/>
      <c r="Z105" s="763"/>
    </row>
    <row r="106" ht="12.75" customHeight="1">
      <c r="A106" s="763"/>
      <c r="B106" s="763"/>
      <c r="C106" s="763"/>
      <c r="D106" s="763"/>
      <c r="E106" s="763"/>
      <c r="F106" s="763"/>
      <c r="G106" s="763"/>
      <c r="H106" s="763"/>
      <c r="I106" s="763"/>
      <c r="J106" s="763"/>
      <c r="K106" s="763"/>
      <c r="L106" s="763"/>
      <c r="M106" s="763"/>
      <c r="N106" s="763"/>
      <c r="O106" s="763"/>
      <c r="P106" s="763"/>
      <c r="Q106" s="763"/>
      <c r="R106" s="763"/>
      <c r="S106" s="763"/>
      <c r="T106" s="763"/>
      <c r="U106" s="763"/>
      <c r="V106" s="763"/>
      <c r="W106" s="763"/>
      <c r="X106" s="763"/>
      <c r="Y106" s="763"/>
      <c r="Z106" s="763"/>
    </row>
    <row r="107" ht="12.75" customHeight="1">
      <c r="A107" s="763"/>
      <c r="B107" s="763"/>
      <c r="C107" s="763"/>
      <c r="D107" s="763"/>
      <c r="E107" s="763"/>
      <c r="F107" s="763"/>
      <c r="G107" s="763"/>
      <c r="H107" s="763"/>
      <c r="I107" s="763"/>
      <c r="J107" s="763"/>
      <c r="K107" s="763"/>
      <c r="L107" s="763"/>
      <c r="M107" s="763"/>
      <c r="N107" s="763"/>
      <c r="O107" s="763"/>
      <c r="P107" s="763"/>
      <c r="Q107" s="763"/>
      <c r="R107" s="763"/>
      <c r="S107" s="763"/>
      <c r="T107" s="763"/>
      <c r="U107" s="763"/>
      <c r="V107" s="763"/>
      <c r="W107" s="763"/>
      <c r="X107" s="763"/>
      <c r="Y107" s="763"/>
      <c r="Z107" s="763"/>
    </row>
    <row r="108" ht="12.75" customHeight="1">
      <c r="A108" s="763"/>
      <c r="B108" s="763"/>
      <c r="C108" s="763"/>
      <c r="D108" s="763"/>
      <c r="E108" s="763"/>
      <c r="F108" s="763"/>
      <c r="G108" s="763"/>
      <c r="H108" s="763"/>
      <c r="I108" s="763"/>
      <c r="J108" s="763"/>
      <c r="K108" s="763"/>
      <c r="L108" s="763"/>
      <c r="M108" s="763"/>
      <c r="N108" s="763"/>
      <c r="O108" s="763"/>
      <c r="P108" s="763"/>
      <c r="Q108" s="763"/>
      <c r="R108" s="763"/>
      <c r="S108" s="763"/>
      <c r="T108" s="763"/>
      <c r="U108" s="763"/>
      <c r="V108" s="763"/>
      <c r="W108" s="763"/>
      <c r="X108" s="763"/>
      <c r="Y108" s="763"/>
      <c r="Z108" s="763"/>
    </row>
    <row r="109" ht="12.75" customHeight="1">
      <c r="A109" s="763"/>
      <c r="B109" s="763"/>
      <c r="C109" s="763"/>
      <c r="D109" s="763"/>
      <c r="E109" s="763"/>
      <c r="F109" s="763"/>
      <c r="G109" s="763"/>
      <c r="H109" s="763"/>
      <c r="I109" s="763"/>
      <c r="J109" s="763"/>
      <c r="K109" s="763"/>
      <c r="L109" s="763"/>
      <c r="M109" s="763"/>
      <c r="N109" s="763"/>
      <c r="O109" s="763"/>
      <c r="P109" s="763"/>
      <c r="Q109" s="763"/>
      <c r="R109" s="763"/>
      <c r="S109" s="763"/>
      <c r="T109" s="763"/>
      <c r="U109" s="763"/>
      <c r="V109" s="763"/>
      <c r="W109" s="763"/>
      <c r="X109" s="763"/>
      <c r="Y109" s="763"/>
      <c r="Z109" s="763"/>
    </row>
    <row r="110" ht="12.75" customHeight="1">
      <c r="A110" s="763"/>
      <c r="B110" s="763"/>
      <c r="C110" s="763"/>
      <c r="D110" s="763"/>
      <c r="E110" s="763"/>
      <c r="F110" s="763"/>
      <c r="G110" s="763"/>
      <c r="H110" s="763"/>
      <c r="I110" s="763"/>
      <c r="J110" s="763"/>
      <c r="K110" s="763"/>
      <c r="L110" s="763"/>
      <c r="M110" s="763"/>
      <c r="N110" s="763"/>
      <c r="O110" s="763"/>
      <c r="P110" s="763"/>
      <c r="Q110" s="763"/>
      <c r="R110" s="763"/>
      <c r="S110" s="763"/>
      <c r="T110" s="763"/>
      <c r="U110" s="763"/>
      <c r="V110" s="763"/>
      <c r="W110" s="763"/>
      <c r="X110" s="763"/>
      <c r="Y110" s="763"/>
      <c r="Z110" s="763"/>
    </row>
    <row r="111" ht="12.75" customHeight="1">
      <c r="A111" s="763"/>
      <c r="B111" s="763"/>
      <c r="C111" s="763"/>
      <c r="D111" s="763"/>
      <c r="E111" s="763"/>
      <c r="F111" s="763"/>
      <c r="G111" s="763"/>
      <c r="H111" s="763"/>
      <c r="I111" s="763"/>
      <c r="J111" s="763"/>
      <c r="K111" s="763"/>
      <c r="L111" s="763"/>
      <c r="M111" s="763"/>
      <c r="N111" s="763"/>
      <c r="O111" s="763"/>
      <c r="P111" s="763"/>
      <c r="Q111" s="763"/>
      <c r="R111" s="763"/>
      <c r="S111" s="763"/>
      <c r="T111" s="763"/>
      <c r="U111" s="763"/>
      <c r="V111" s="763"/>
      <c r="W111" s="763"/>
      <c r="X111" s="763"/>
      <c r="Y111" s="763"/>
      <c r="Z111" s="763"/>
    </row>
    <row r="112" ht="12.75" customHeight="1">
      <c r="A112" s="763"/>
      <c r="B112" s="763"/>
      <c r="C112" s="763"/>
      <c r="D112" s="763"/>
      <c r="E112" s="763"/>
      <c r="F112" s="763"/>
      <c r="G112" s="763"/>
      <c r="H112" s="763"/>
      <c r="I112" s="763"/>
      <c r="J112" s="763"/>
      <c r="K112" s="763"/>
      <c r="L112" s="763"/>
      <c r="M112" s="763"/>
      <c r="N112" s="763"/>
      <c r="O112" s="763"/>
      <c r="P112" s="763"/>
      <c r="Q112" s="763"/>
      <c r="R112" s="763"/>
      <c r="S112" s="763"/>
      <c r="T112" s="763"/>
      <c r="U112" s="763"/>
      <c r="V112" s="763"/>
      <c r="W112" s="763"/>
      <c r="X112" s="763"/>
      <c r="Y112" s="763"/>
      <c r="Z112" s="763"/>
    </row>
    <row r="113" ht="12.75" customHeight="1">
      <c r="A113" s="763"/>
      <c r="B113" s="763"/>
      <c r="C113" s="763"/>
      <c r="D113" s="763"/>
      <c r="E113" s="763"/>
      <c r="F113" s="763"/>
      <c r="G113" s="763"/>
      <c r="H113" s="763"/>
      <c r="I113" s="763"/>
      <c r="J113" s="763"/>
      <c r="K113" s="763"/>
      <c r="L113" s="763"/>
      <c r="M113" s="763"/>
      <c r="N113" s="763"/>
      <c r="O113" s="763"/>
      <c r="P113" s="763"/>
      <c r="Q113" s="763"/>
      <c r="R113" s="763"/>
      <c r="S113" s="763"/>
      <c r="T113" s="763"/>
      <c r="U113" s="763"/>
      <c r="V113" s="763"/>
      <c r="W113" s="763"/>
      <c r="X113" s="763"/>
      <c r="Y113" s="763"/>
      <c r="Z113" s="763"/>
    </row>
    <row r="114" ht="12.75" customHeight="1">
      <c r="A114" s="763"/>
      <c r="B114" s="763"/>
      <c r="C114" s="763"/>
      <c r="D114" s="763"/>
      <c r="E114" s="763"/>
      <c r="F114" s="763"/>
      <c r="G114" s="763"/>
      <c r="H114" s="763"/>
      <c r="I114" s="763"/>
      <c r="J114" s="763"/>
      <c r="K114" s="763"/>
      <c r="L114" s="763"/>
      <c r="M114" s="763"/>
      <c r="N114" s="763"/>
      <c r="O114" s="763"/>
      <c r="P114" s="763"/>
      <c r="Q114" s="763"/>
      <c r="R114" s="763"/>
      <c r="S114" s="763"/>
      <c r="T114" s="763"/>
      <c r="U114" s="763"/>
      <c r="V114" s="763"/>
      <c r="W114" s="763"/>
      <c r="X114" s="763"/>
      <c r="Y114" s="763"/>
      <c r="Z114" s="763"/>
    </row>
    <row r="115" ht="12.75" customHeight="1">
      <c r="A115" s="763"/>
      <c r="B115" s="763"/>
      <c r="C115" s="763"/>
      <c r="D115" s="763"/>
      <c r="E115" s="763"/>
      <c r="F115" s="763"/>
      <c r="G115" s="763"/>
      <c r="H115" s="763"/>
      <c r="I115" s="763"/>
      <c r="J115" s="763"/>
      <c r="K115" s="763"/>
      <c r="L115" s="763"/>
      <c r="M115" s="763"/>
      <c r="N115" s="763"/>
      <c r="O115" s="763"/>
      <c r="P115" s="763"/>
      <c r="Q115" s="763"/>
      <c r="R115" s="763"/>
      <c r="S115" s="763"/>
      <c r="T115" s="763"/>
      <c r="U115" s="763"/>
      <c r="V115" s="763"/>
      <c r="W115" s="763"/>
      <c r="X115" s="763"/>
      <c r="Y115" s="763"/>
      <c r="Z115" s="763"/>
    </row>
    <row r="116" ht="12.75" customHeight="1">
      <c r="A116" s="763"/>
      <c r="B116" s="763"/>
      <c r="C116" s="763"/>
      <c r="D116" s="763"/>
      <c r="E116" s="763"/>
      <c r="F116" s="763"/>
      <c r="G116" s="763"/>
      <c r="H116" s="763"/>
      <c r="I116" s="763"/>
      <c r="J116" s="763"/>
      <c r="K116" s="763"/>
      <c r="L116" s="763"/>
      <c r="M116" s="763"/>
      <c r="N116" s="763"/>
      <c r="O116" s="763"/>
      <c r="P116" s="763"/>
      <c r="Q116" s="763"/>
      <c r="R116" s="763"/>
      <c r="S116" s="763"/>
      <c r="T116" s="763"/>
      <c r="U116" s="763"/>
      <c r="V116" s="763"/>
      <c r="W116" s="763"/>
      <c r="X116" s="763"/>
      <c r="Y116" s="763"/>
      <c r="Z116" s="763"/>
    </row>
    <row r="117" ht="12.75" customHeight="1">
      <c r="A117" s="763"/>
      <c r="B117" s="763"/>
      <c r="C117" s="763"/>
      <c r="D117" s="763"/>
      <c r="E117" s="763"/>
      <c r="F117" s="763"/>
      <c r="G117" s="763"/>
      <c r="H117" s="763"/>
      <c r="I117" s="763"/>
      <c r="J117" s="763"/>
      <c r="K117" s="763"/>
      <c r="L117" s="763"/>
      <c r="M117" s="763"/>
      <c r="N117" s="763"/>
      <c r="O117" s="763"/>
      <c r="P117" s="763"/>
      <c r="Q117" s="763"/>
      <c r="R117" s="763"/>
      <c r="S117" s="763"/>
      <c r="T117" s="763"/>
      <c r="U117" s="763"/>
      <c r="V117" s="763"/>
      <c r="W117" s="763"/>
      <c r="X117" s="763"/>
      <c r="Y117" s="763"/>
      <c r="Z117" s="763"/>
    </row>
    <row r="118" ht="12.75" customHeight="1">
      <c r="A118" s="763"/>
      <c r="B118" s="763"/>
      <c r="C118" s="763"/>
      <c r="D118" s="763"/>
      <c r="E118" s="763"/>
      <c r="F118" s="763"/>
      <c r="G118" s="763"/>
      <c r="H118" s="763"/>
      <c r="I118" s="763"/>
      <c r="J118" s="763"/>
      <c r="K118" s="763"/>
      <c r="L118" s="763"/>
      <c r="M118" s="763"/>
      <c r="N118" s="763"/>
      <c r="O118" s="763"/>
      <c r="P118" s="763"/>
      <c r="Q118" s="763"/>
      <c r="R118" s="763"/>
      <c r="S118" s="763"/>
      <c r="T118" s="763"/>
      <c r="U118" s="763"/>
      <c r="V118" s="763"/>
      <c r="W118" s="763"/>
      <c r="X118" s="763"/>
      <c r="Y118" s="763"/>
      <c r="Z118" s="763"/>
    </row>
    <row r="119" ht="12.75" customHeight="1">
      <c r="A119" s="763"/>
      <c r="B119" s="763"/>
      <c r="C119" s="763"/>
      <c r="D119" s="763"/>
      <c r="E119" s="763"/>
      <c r="F119" s="763"/>
      <c r="G119" s="763"/>
      <c r="H119" s="763"/>
      <c r="I119" s="763"/>
      <c r="J119" s="763"/>
      <c r="K119" s="763"/>
      <c r="L119" s="763"/>
      <c r="M119" s="763"/>
      <c r="N119" s="763"/>
      <c r="O119" s="763"/>
      <c r="P119" s="763"/>
      <c r="Q119" s="763"/>
      <c r="R119" s="763"/>
      <c r="S119" s="763"/>
      <c r="T119" s="763"/>
      <c r="U119" s="763"/>
      <c r="V119" s="763"/>
      <c r="W119" s="763"/>
      <c r="X119" s="763"/>
      <c r="Y119" s="763"/>
      <c r="Z119" s="763"/>
    </row>
    <row r="120" ht="12.75" customHeight="1">
      <c r="A120" s="763"/>
      <c r="B120" s="763"/>
      <c r="C120" s="763"/>
      <c r="D120" s="763"/>
      <c r="E120" s="763"/>
      <c r="F120" s="763"/>
      <c r="G120" s="763"/>
      <c r="H120" s="763"/>
      <c r="I120" s="763"/>
      <c r="J120" s="763"/>
      <c r="K120" s="763"/>
      <c r="L120" s="763"/>
      <c r="M120" s="763"/>
      <c r="N120" s="763"/>
      <c r="O120" s="763"/>
      <c r="P120" s="763"/>
      <c r="Q120" s="763"/>
      <c r="R120" s="763"/>
      <c r="S120" s="763"/>
      <c r="T120" s="763"/>
      <c r="U120" s="763"/>
      <c r="V120" s="763"/>
      <c r="W120" s="763"/>
      <c r="X120" s="763"/>
      <c r="Y120" s="763"/>
      <c r="Z120" s="763"/>
    </row>
    <row r="121" ht="12.75" customHeight="1">
      <c r="A121" s="763"/>
      <c r="B121" s="763"/>
      <c r="C121" s="763"/>
      <c r="D121" s="763"/>
      <c r="E121" s="763"/>
      <c r="F121" s="763"/>
      <c r="G121" s="763"/>
      <c r="H121" s="763"/>
      <c r="I121" s="763"/>
      <c r="J121" s="763"/>
      <c r="K121" s="763"/>
      <c r="L121" s="763"/>
      <c r="M121" s="763"/>
      <c r="N121" s="763"/>
      <c r="O121" s="763"/>
      <c r="P121" s="763"/>
      <c r="Q121" s="763"/>
      <c r="R121" s="763"/>
      <c r="S121" s="763"/>
      <c r="T121" s="763"/>
      <c r="U121" s="763"/>
      <c r="V121" s="763"/>
      <c r="W121" s="763"/>
      <c r="X121" s="763"/>
      <c r="Y121" s="763"/>
      <c r="Z121" s="763"/>
    </row>
    <row r="122" ht="12.75" customHeight="1">
      <c r="A122" s="763"/>
      <c r="B122" s="763"/>
      <c r="C122" s="763"/>
      <c r="D122" s="763"/>
      <c r="E122" s="763"/>
      <c r="F122" s="763"/>
      <c r="G122" s="763"/>
      <c r="H122" s="763"/>
      <c r="I122" s="763"/>
      <c r="J122" s="763"/>
      <c r="K122" s="763"/>
      <c r="L122" s="763"/>
      <c r="M122" s="763"/>
      <c r="N122" s="763"/>
      <c r="O122" s="763"/>
      <c r="P122" s="763"/>
      <c r="Q122" s="763"/>
      <c r="R122" s="763"/>
      <c r="S122" s="763"/>
      <c r="T122" s="763"/>
      <c r="U122" s="763"/>
      <c r="V122" s="763"/>
      <c r="W122" s="763"/>
      <c r="X122" s="763"/>
      <c r="Y122" s="763"/>
      <c r="Z122" s="763"/>
    </row>
    <row r="123" ht="12.75" customHeight="1">
      <c r="A123" s="763"/>
      <c r="B123" s="763"/>
      <c r="C123" s="763"/>
      <c r="D123" s="763"/>
      <c r="E123" s="763"/>
      <c r="F123" s="763"/>
      <c r="G123" s="763"/>
      <c r="H123" s="763"/>
      <c r="I123" s="763"/>
      <c r="J123" s="763"/>
      <c r="K123" s="763"/>
      <c r="L123" s="763"/>
      <c r="M123" s="763"/>
      <c r="N123" s="763"/>
      <c r="O123" s="763"/>
      <c r="P123" s="763"/>
      <c r="Q123" s="763"/>
      <c r="R123" s="763"/>
      <c r="S123" s="763"/>
      <c r="T123" s="763"/>
      <c r="U123" s="763"/>
      <c r="V123" s="763"/>
      <c r="W123" s="763"/>
      <c r="X123" s="763"/>
      <c r="Y123" s="763"/>
      <c r="Z123" s="763"/>
    </row>
    <row r="124" ht="12.75" customHeight="1">
      <c r="A124" s="763"/>
      <c r="B124" s="763"/>
      <c r="C124" s="763"/>
      <c r="D124" s="763"/>
      <c r="E124" s="763"/>
      <c r="F124" s="763"/>
      <c r="G124" s="763"/>
      <c r="H124" s="763"/>
      <c r="I124" s="763"/>
      <c r="J124" s="763"/>
      <c r="K124" s="763"/>
      <c r="L124" s="763"/>
      <c r="M124" s="763"/>
      <c r="N124" s="763"/>
      <c r="O124" s="763"/>
      <c r="P124" s="763"/>
      <c r="Q124" s="763"/>
      <c r="R124" s="763"/>
      <c r="S124" s="763"/>
      <c r="T124" s="763"/>
      <c r="U124" s="763"/>
      <c r="V124" s="763"/>
      <c r="W124" s="763"/>
      <c r="X124" s="763"/>
      <c r="Y124" s="763"/>
      <c r="Z124" s="763"/>
    </row>
    <row r="125" ht="12.75" customHeight="1">
      <c r="A125" s="763"/>
      <c r="B125" s="763"/>
      <c r="C125" s="763"/>
      <c r="D125" s="763"/>
      <c r="E125" s="763"/>
      <c r="F125" s="763"/>
      <c r="G125" s="763"/>
      <c r="H125" s="763"/>
      <c r="I125" s="763"/>
      <c r="J125" s="763"/>
      <c r="K125" s="763"/>
      <c r="L125" s="763"/>
      <c r="M125" s="763"/>
      <c r="N125" s="763"/>
      <c r="O125" s="763"/>
      <c r="P125" s="763"/>
      <c r="Q125" s="763"/>
      <c r="R125" s="763"/>
      <c r="S125" s="763"/>
      <c r="T125" s="763"/>
      <c r="U125" s="763"/>
      <c r="V125" s="763"/>
      <c r="W125" s="763"/>
      <c r="X125" s="763"/>
      <c r="Y125" s="763"/>
      <c r="Z125" s="763"/>
    </row>
    <row r="126" ht="12.75" customHeight="1">
      <c r="A126" s="763"/>
      <c r="B126" s="763"/>
      <c r="C126" s="763"/>
      <c r="D126" s="763"/>
      <c r="E126" s="763"/>
      <c r="F126" s="763"/>
      <c r="G126" s="763"/>
      <c r="H126" s="763"/>
      <c r="I126" s="763"/>
      <c r="J126" s="763"/>
      <c r="K126" s="763"/>
      <c r="L126" s="763"/>
      <c r="M126" s="763"/>
      <c r="N126" s="763"/>
      <c r="O126" s="763"/>
      <c r="P126" s="763"/>
      <c r="Q126" s="763"/>
      <c r="R126" s="763"/>
      <c r="S126" s="763"/>
      <c r="T126" s="763"/>
      <c r="U126" s="763"/>
      <c r="V126" s="763"/>
      <c r="W126" s="763"/>
      <c r="X126" s="763"/>
      <c r="Y126" s="763"/>
      <c r="Z126" s="763"/>
    </row>
    <row r="127" ht="12.75" customHeight="1">
      <c r="A127" s="763"/>
      <c r="B127" s="763"/>
      <c r="C127" s="763"/>
      <c r="D127" s="763"/>
      <c r="E127" s="763"/>
      <c r="F127" s="763"/>
      <c r="G127" s="763"/>
      <c r="H127" s="763"/>
      <c r="I127" s="763"/>
      <c r="J127" s="763"/>
      <c r="K127" s="763"/>
      <c r="L127" s="763"/>
      <c r="M127" s="763"/>
      <c r="N127" s="763"/>
      <c r="O127" s="763"/>
      <c r="P127" s="763"/>
      <c r="Q127" s="763"/>
      <c r="R127" s="763"/>
      <c r="S127" s="763"/>
      <c r="T127" s="763"/>
      <c r="U127" s="763"/>
      <c r="V127" s="763"/>
      <c r="W127" s="763"/>
      <c r="X127" s="763"/>
      <c r="Y127" s="763"/>
      <c r="Z127" s="763"/>
    </row>
    <row r="128" ht="12.75" customHeight="1">
      <c r="A128" s="763"/>
      <c r="B128" s="763"/>
      <c r="C128" s="763"/>
      <c r="D128" s="763"/>
      <c r="E128" s="763"/>
      <c r="F128" s="763"/>
      <c r="G128" s="763"/>
      <c r="H128" s="763"/>
      <c r="I128" s="763"/>
      <c r="J128" s="763"/>
      <c r="K128" s="763"/>
      <c r="L128" s="763"/>
      <c r="M128" s="763"/>
      <c r="N128" s="763"/>
      <c r="O128" s="763"/>
      <c r="P128" s="763"/>
      <c r="Q128" s="763"/>
      <c r="R128" s="763"/>
      <c r="S128" s="763"/>
      <c r="T128" s="763"/>
      <c r="U128" s="763"/>
      <c r="V128" s="763"/>
      <c r="W128" s="763"/>
      <c r="X128" s="763"/>
      <c r="Y128" s="763"/>
      <c r="Z128" s="763"/>
    </row>
    <row r="129" ht="12.75" customHeight="1">
      <c r="A129" s="763"/>
      <c r="B129" s="763"/>
      <c r="C129" s="763"/>
      <c r="D129" s="763"/>
      <c r="E129" s="763"/>
      <c r="F129" s="763"/>
      <c r="G129" s="763"/>
      <c r="H129" s="763"/>
      <c r="I129" s="763"/>
      <c r="J129" s="763"/>
      <c r="K129" s="763"/>
      <c r="L129" s="763"/>
      <c r="M129" s="763"/>
      <c r="N129" s="763"/>
      <c r="O129" s="763"/>
      <c r="P129" s="763"/>
      <c r="Q129" s="763"/>
      <c r="R129" s="763"/>
      <c r="S129" s="763"/>
      <c r="T129" s="763"/>
      <c r="U129" s="763"/>
      <c r="V129" s="763"/>
      <c r="W129" s="763"/>
      <c r="X129" s="763"/>
      <c r="Y129" s="763"/>
      <c r="Z129" s="763"/>
    </row>
    <row r="130" ht="12.75" customHeight="1">
      <c r="A130" s="763"/>
      <c r="B130" s="763"/>
      <c r="C130" s="763"/>
      <c r="D130" s="763"/>
      <c r="E130" s="763"/>
      <c r="F130" s="763"/>
      <c r="G130" s="763"/>
      <c r="H130" s="763"/>
      <c r="I130" s="763"/>
      <c r="J130" s="763"/>
      <c r="K130" s="763"/>
      <c r="L130" s="763"/>
      <c r="M130" s="763"/>
      <c r="N130" s="763"/>
      <c r="O130" s="763"/>
      <c r="P130" s="763"/>
      <c r="Q130" s="763"/>
      <c r="R130" s="763"/>
      <c r="S130" s="763"/>
      <c r="T130" s="763"/>
      <c r="U130" s="763"/>
      <c r="V130" s="763"/>
      <c r="W130" s="763"/>
      <c r="X130" s="763"/>
      <c r="Y130" s="763"/>
      <c r="Z130" s="763"/>
    </row>
    <row r="131" ht="12.75" customHeight="1">
      <c r="A131" s="763"/>
      <c r="B131" s="763"/>
      <c r="C131" s="763"/>
      <c r="D131" s="763"/>
      <c r="E131" s="763"/>
      <c r="F131" s="763"/>
      <c r="G131" s="763"/>
      <c r="H131" s="763"/>
      <c r="I131" s="763"/>
      <c r="J131" s="763"/>
      <c r="K131" s="763"/>
      <c r="L131" s="763"/>
      <c r="M131" s="763"/>
      <c r="N131" s="763"/>
      <c r="O131" s="763"/>
      <c r="P131" s="763"/>
      <c r="Q131" s="763"/>
      <c r="R131" s="763"/>
      <c r="S131" s="763"/>
      <c r="T131" s="763"/>
      <c r="U131" s="763"/>
      <c r="V131" s="763"/>
      <c r="W131" s="763"/>
      <c r="X131" s="763"/>
      <c r="Y131" s="763"/>
      <c r="Z131" s="763"/>
    </row>
    <row r="132" ht="12.75" customHeight="1">
      <c r="A132" s="763"/>
      <c r="B132" s="763"/>
      <c r="C132" s="763"/>
      <c r="D132" s="763"/>
      <c r="E132" s="763"/>
      <c r="F132" s="763"/>
      <c r="G132" s="763"/>
      <c r="H132" s="763"/>
      <c r="I132" s="763"/>
      <c r="J132" s="763"/>
      <c r="K132" s="763"/>
      <c r="L132" s="763"/>
      <c r="M132" s="763"/>
      <c r="N132" s="763"/>
      <c r="O132" s="763"/>
      <c r="P132" s="763"/>
      <c r="Q132" s="763"/>
      <c r="R132" s="763"/>
      <c r="S132" s="763"/>
      <c r="T132" s="763"/>
      <c r="U132" s="763"/>
      <c r="V132" s="763"/>
      <c r="W132" s="763"/>
      <c r="X132" s="763"/>
      <c r="Y132" s="763"/>
      <c r="Z132" s="763"/>
    </row>
    <row r="133" ht="12.75" customHeight="1">
      <c r="A133" s="763"/>
      <c r="B133" s="763"/>
      <c r="C133" s="763"/>
      <c r="D133" s="763"/>
      <c r="E133" s="763"/>
      <c r="F133" s="763"/>
      <c r="G133" s="763"/>
      <c r="H133" s="763"/>
      <c r="I133" s="763"/>
      <c r="J133" s="763"/>
      <c r="K133" s="763"/>
      <c r="L133" s="763"/>
      <c r="M133" s="763"/>
      <c r="N133" s="763"/>
      <c r="O133" s="763"/>
      <c r="P133" s="763"/>
      <c r="Q133" s="763"/>
      <c r="R133" s="763"/>
      <c r="S133" s="763"/>
      <c r="T133" s="763"/>
      <c r="U133" s="763"/>
      <c r="V133" s="763"/>
      <c r="W133" s="763"/>
      <c r="X133" s="763"/>
      <c r="Y133" s="763"/>
      <c r="Z133" s="763"/>
    </row>
    <row r="134" ht="12.75" customHeight="1">
      <c r="A134" s="763"/>
      <c r="B134" s="763"/>
      <c r="C134" s="763"/>
      <c r="D134" s="763"/>
      <c r="E134" s="763"/>
      <c r="F134" s="763"/>
      <c r="G134" s="763"/>
      <c r="H134" s="763"/>
      <c r="I134" s="763"/>
      <c r="J134" s="763"/>
      <c r="K134" s="763"/>
      <c r="L134" s="763"/>
      <c r="M134" s="763"/>
      <c r="N134" s="763"/>
      <c r="O134" s="763"/>
      <c r="P134" s="763"/>
      <c r="Q134" s="763"/>
      <c r="R134" s="763"/>
      <c r="S134" s="763"/>
      <c r="T134" s="763"/>
      <c r="U134" s="763"/>
      <c r="V134" s="763"/>
      <c r="W134" s="763"/>
      <c r="X134" s="763"/>
      <c r="Y134" s="763"/>
      <c r="Z134" s="763"/>
    </row>
    <row r="135" ht="12.75" customHeight="1">
      <c r="A135" s="763"/>
      <c r="B135" s="763"/>
      <c r="C135" s="763"/>
      <c r="D135" s="763"/>
      <c r="E135" s="763"/>
      <c r="F135" s="763"/>
      <c r="G135" s="763"/>
      <c r="H135" s="763"/>
      <c r="I135" s="763"/>
      <c r="J135" s="763"/>
      <c r="K135" s="763"/>
      <c r="L135" s="763"/>
      <c r="M135" s="763"/>
      <c r="N135" s="763"/>
      <c r="O135" s="763"/>
      <c r="P135" s="763"/>
      <c r="Q135" s="763"/>
      <c r="R135" s="763"/>
      <c r="S135" s="763"/>
      <c r="T135" s="763"/>
      <c r="U135" s="763"/>
      <c r="V135" s="763"/>
      <c r="W135" s="763"/>
      <c r="X135" s="763"/>
      <c r="Y135" s="763"/>
      <c r="Z135" s="763"/>
    </row>
    <row r="136" ht="12.75" customHeight="1">
      <c r="A136" s="763"/>
      <c r="B136" s="763"/>
      <c r="C136" s="763"/>
      <c r="D136" s="763"/>
      <c r="E136" s="763"/>
      <c r="F136" s="763"/>
      <c r="G136" s="763"/>
      <c r="H136" s="763"/>
      <c r="I136" s="763"/>
      <c r="J136" s="763"/>
      <c r="K136" s="763"/>
      <c r="L136" s="763"/>
      <c r="M136" s="763"/>
      <c r="N136" s="763"/>
      <c r="O136" s="763"/>
      <c r="P136" s="763"/>
      <c r="Q136" s="763"/>
      <c r="R136" s="763"/>
      <c r="S136" s="763"/>
      <c r="T136" s="763"/>
      <c r="U136" s="763"/>
      <c r="V136" s="763"/>
      <c r="W136" s="763"/>
      <c r="X136" s="763"/>
      <c r="Y136" s="763"/>
      <c r="Z136" s="763"/>
    </row>
    <row r="137" ht="12.75" customHeight="1">
      <c r="A137" s="763"/>
      <c r="B137" s="763"/>
      <c r="C137" s="763"/>
      <c r="D137" s="763"/>
      <c r="E137" s="763"/>
      <c r="F137" s="763"/>
      <c r="G137" s="763"/>
      <c r="H137" s="763"/>
      <c r="I137" s="763"/>
      <c r="J137" s="763"/>
      <c r="K137" s="763"/>
      <c r="L137" s="763"/>
      <c r="M137" s="763"/>
      <c r="N137" s="763"/>
      <c r="O137" s="763"/>
      <c r="P137" s="763"/>
      <c r="Q137" s="763"/>
      <c r="R137" s="763"/>
      <c r="S137" s="763"/>
      <c r="T137" s="763"/>
      <c r="U137" s="763"/>
      <c r="V137" s="763"/>
      <c r="W137" s="763"/>
      <c r="X137" s="763"/>
      <c r="Y137" s="763"/>
      <c r="Z137" s="763"/>
    </row>
    <row r="138" ht="12.75" customHeight="1">
      <c r="A138" s="763"/>
      <c r="B138" s="763"/>
      <c r="C138" s="763"/>
      <c r="D138" s="763"/>
      <c r="E138" s="763"/>
      <c r="F138" s="763"/>
      <c r="G138" s="763"/>
      <c r="H138" s="763"/>
      <c r="I138" s="763"/>
      <c r="J138" s="763"/>
      <c r="K138" s="763"/>
      <c r="L138" s="763"/>
      <c r="M138" s="763"/>
      <c r="N138" s="763"/>
      <c r="O138" s="763"/>
      <c r="P138" s="763"/>
      <c r="Q138" s="763"/>
      <c r="R138" s="763"/>
      <c r="S138" s="763"/>
      <c r="T138" s="763"/>
      <c r="U138" s="763"/>
      <c r="V138" s="763"/>
      <c r="W138" s="763"/>
      <c r="X138" s="763"/>
      <c r="Y138" s="763"/>
      <c r="Z138" s="763"/>
    </row>
    <row r="139" ht="12.75" customHeight="1">
      <c r="A139" s="763"/>
      <c r="B139" s="763"/>
      <c r="C139" s="763"/>
      <c r="D139" s="763"/>
      <c r="E139" s="763"/>
      <c r="F139" s="763"/>
      <c r="G139" s="763"/>
      <c r="H139" s="763"/>
      <c r="I139" s="763"/>
      <c r="J139" s="763"/>
      <c r="K139" s="763"/>
      <c r="L139" s="763"/>
      <c r="M139" s="763"/>
      <c r="N139" s="763"/>
      <c r="O139" s="763"/>
      <c r="P139" s="763"/>
      <c r="Q139" s="763"/>
      <c r="R139" s="763"/>
      <c r="S139" s="763"/>
      <c r="T139" s="763"/>
      <c r="U139" s="763"/>
      <c r="V139" s="763"/>
      <c r="W139" s="763"/>
      <c r="X139" s="763"/>
      <c r="Y139" s="763"/>
      <c r="Z139" s="763"/>
    </row>
    <row r="140" ht="12.75" customHeight="1">
      <c r="A140" s="763"/>
      <c r="B140" s="763"/>
      <c r="C140" s="763"/>
      <c r="D140" s="763"/>
      <c r="E140" s="763"/>
      <c r="F140" s="763"/>
      <c r="G140" s="763"/>
      <c r="H140" s="763"/>
      <c r="I140" s="763"/>
      <c r="J140" s="763"/>
      <c r="K140" s="763"/>
      <c r="L140" s="763"/>
      <c r="M140" s="763"/>
      <c r="N140" s="763"/>
      <c r="O140" s="763"/>
      <c r="P140" s="763"/>
      <c r="Q140" s="763"/>
      <c r="R140" s="763"/>
      <c r="S140" s="763"/>
      <c r="T140" s="763"/>
      <c r="U140" s="763"/>
      <c r="V140" s="763"/>
      <c r="W140" s="763"/>
      <c r="X140" s="763"/>
      <c r="Y140" s="763"/>
      <c r="Z140" s="763"/>
    </row>
    <row r="141" ht="12.75" customHeight="1">
      <c r="A141" s="763"/>
      <c r="B141" s="763"/>
      <c r="C141" s="763"/>
      <c r="D141" s="763"/>
      <c r="E141" s="763"/>
      <c r="F141" s="763"/>
      <c r="G141" s="763"/>
      <c r="H141" s="763"/>
      <c r="I141" s="763"/>
      <c r="J141" s="763"/>
      <c r="K141" s="763"/>
      <c r="L141" s="763"/>
      <c r="M141" s="763"/>
      <c r="N141" s="763"/>
      <c r="O141" s="763"/>
      <c r="P141" s="763"/>
      <c r="Q141" s="763"/>
      <c r="R141" s="763"/>
      <c r="S141" s="763"/>
      <c r="T141" s="763"/>
      <c r="U141" s="763"/>
      <c r="V141" s="763"/>
      <c r="W141" s="763"/>
      <c r="X141" s="763"/>
      <c r="Y141" s="763"/>
      <c r="Z141" s="763"/>
    </row>
    <row r="142" ht="12.75" customHeight="1">
      <c r="A142" s="763"/>
      <c r="B142" s="763"/>
      <c r="C142" s="763"/>
      <c r="D142" s="763"/>
      <c r="E142" s="763"/>
      <c r="F142" s="763"/>
      <c r="G142" s="763"/>
      <c r="H142" s="763"/>
      <c r="I142" s="763"/>
      <c r="J142" s="763"/>
      <c r="K142" s="763"/>
      <c r="L142" s="763"/>
      <c r="M142" s="763"/>
      <c r="N142" s="763"/>
      <c r="O142" s="763"/>
      <c r="P142" s="763"/>
      <c r="Q142" s="763"/>
      <c r="R142" s="763"/>
      <c r="S142" s="763"/>
      <c r="T142" s="763"/>
      <c r="U142" s="763"/>
      <c r="V142" s="763"/>
      <c r="W142" s="763"/>
      <c r="X142" s="763"/>
      <c r="Y142" s="763"/>
      <c r="Z142" s="763"/>
    </row>
    <row r="143" ht="12.75" customHeight="1">
      <c r="A143" s="763"/>
      <c r="B143" s="763"/>
      <c r="C143" s="763"/>
      <c r="D143" s="763"/>
      <c r="E143" s="763"/>
      <c r="F143" s="763"/>
      <c r="G143" s="763"/>
      <c r="H143" s="763"/>
      <c r="I143" s="763"/>
      <c r="J143" s="763"/>
      <c r="K143" s="763"/>
      <c r="L143" s="763"/>
      <c r="M143" s="763"/>
      <c r="N143" s="763"/>
      <c r="O143" s="763"/>
      <c r="P143" s="763"/>
      <c r="Q143" s="763"/>
      <c r="R143" s="763"/>
      <c r="S143" s="763"/>
      <c r="T143" s="763"/>
      <c r="U143" s="763"/>
      <c r="V143" s="763"/>
      <c r="W143" s="763"/>
      <c r="X143" s="763"/>
      <c r="Y143" s="763"/>
      <c r="Z143" s="763"/>
    </row>
    <row r="144" ht="12.75" customHeight="1">
      <c r="A144" s="763"/>
      <c r="B144" s="763"/>
      <c r="C144" s="763"/>
      <c r="D144" s="763"/>
      <c r="E144" s="763"/>
      <c r="F144" s="763"/>
      <c r="G144" s="763"/>
      <c r="H144" s="763"/>
      <c r="I144" s="763"/>
      <c r="J144" s="763"/>
      <c r="K144" s="763"/>
      <c r="L144" s="763"/>
      <c r="M144" s="763"/>
      <c r="N144" s="763"/>
      <c r="O144" s="763"/>
      <c r="P144" s="763"/>
      <c r="Q144" s="763"/>
      <c r="R144" s="763"/>
      <c r="S144" s="763"/>
      <c r="T144" s="763"/>
      <c r="U144" s="763"/>
      <c r="V144" s="763"/>
      <c r="W144" s="763"/>
      <c r="X144" s="763"/>
      <c r="Y144" s="763"/>
      <c r="Z144" s="763"/>
    </row>
    <row r="145" ht="12.75" customHeight="1">
      <c r="A145" s="763"/>
      <c r="B145" s="763"/>
      <c r="C145" s="763"/>
      <c r="D145" s="763"/>
      <c r="E145" s="763"/>
      <c r="F145" s="763"/>
      <c r="G145" s="763"/>
      <c r="H145" s="763"/>
      <c r="I145" s="763"/>
      <c r="J145" s="763"/>
      <c r="K145" s="763"/>
      <c r="L145" s="763"/>
      <c r="M145" s="763"/>
      <c r="N145" s="763"/>
      <c r="O145" s="763"/>
      <c r="P145" s="763"/>
      <c r="Q145" s="763"/>
      <c r="R145" s="763"/>
      <c r="S145" s="763"/>
      <c r="T145" s="763"/>
      <c r="U145" s="763"/>
      <c r="V145" s="763"/>
      <c r="W145" s="763"/>
      <c r="X145" s="763"/>
      <c r="Y145" s="763"/>
      <c r="Z145" s="763"/>
    </row>
    <row r="146" ht="12.75" customHeight="1">
      <c r="A146" s="763"/>
      <c r="B146" s="763"/>
      <c r="C146" s="763"/>
      <c r="D146" s="763"/>
      <c r="E146" s="763"/>
      <c r="F146" s="763"/>
      <c r="G146" s="763"/>
      <c r="H146" s="763"/>
      <c r="I146" s="763"/>
      <c r="J146" s="763"/>
      <c r="K146" s="763"/>
      <c r="L146" s="763"/>
      <c r="M146" s="763"/>
      <c r="N146" s="763"/>
      <c r="O146" s="763"/>
      <c r="P146" s="763"/>
      <c r="Q146" s="763"/>
      <c r="R146" s="763"/>
      <c r="S146" s="763"/>
      <c r="T146" s="763"/>
      <c r="U146" s="763"/>
      <c r="V146" s="763"/>
      <c r="W146" s="763"/>
      <c r="X146" s="763"/>
      <c r="Y146" s="763"/>
      <c r="Z146" s="763"/>
    </row>
    <row r="147" ht="12.75" customHeight="1">
      <c r="A147" s="763"/>
      <c r="B147" s="763"/>
      <c r="C147" s="763"/>
      <c r="D147" s="763"/>
      <c r="E147" s="763"/>
      <c r="F147" s="763"/>
      <c r="G147" s="763"/>
      <c r="H147" s="763"/>
      <c r="I147" s="763"/>
      <c r="J147" s="763"/>
      <c r="K147" s="763"/>
      <c r="L147" s="763"/>
      <c r="M147" s="763"/>
      <c r="N147" s="763"/>
      <c r="O147" s="763"/>
      <c r="P147" s="763"/>
      <c r="Q147" s="763"/>
      <c r="R147" s="763"/>
      <c r="S147" s="763"/>
      <c r="T147" s="763"/>
      <c r="U147" s="763"/>
      <c r="V147" s="763"/>
      <c r="W147" s="763"/>
      <c r="X147" s="763"/>
      <c r="Y147" s="763"/>
      <c r="Z147" s="763"/>
    </row>
    <row r="148" ht="12.75" customHeight="1">
      <c r="A148" s="763"/>
      <c r="B148" s="763"/>
      <c r="C148" s="763"/>
      <c r="D148" s="763"/>
      <c r="E148" s="763"/>
      <c r="F148" s="763"/>
      <c r="G148" s="763"/>
      <c r="H148" s="763"/>
      <c r="I148" s="763"/>
      <c r="J148" s="763"/>
      <c r="K148" s="763"/>
      <c r="L148" s="763"/>
      <c r="M148" s="763"/>
      <c r="N148" s="763"/>
      <c r="O148" s="763"/>
      <c r="P148" s="763"/>
      <c r="Q148" s="763"/>
      <c r="R148" s="763"/>
      <c r="S148" s="763"/>
      <c r="T148" s="763"/>
      <c r="U148" s="763"/>
      <c r="V148" s="763"/>
      <c r="W148" s="763"/>
      <c r="X148" s="763"/>
      <c r="Y148" s="763"/>
      <c r="Z148" s="763"/>
    </row>
    <row r="149" ht="12.75" customHeight="1">
      <c r="A149" s="763"/>
      <c r="B149" s="763"/>
      <c r="C149" s="763"/>
      <c r="D149" s="763"/>
      <c r="E149" s="763"/>
      <c r="F149" s="763"/>
      <c r="G149" s="763"/>
      <c r="H149" s="763"/>
      <c r="I149" s="763"/>
      <c r="J149" s="763"/>
      <c r="K149" s="763"/>
      <c r="L149" s="763"/>
      <c r="M149" s="763"/>
      <c r="N149" s="763"/>
      <c r="O149" s="763"/>
      <c r="P149" s="763"/>
      <c r="Q149" s="763"/>
      <c r="R149" s="763"/>
      <c r="S149" s="763"/>
      <c r="T149" s="763"/>
      <c r="U149" s="763"/>
      <c r="V149" s="763"/>
      <c r="W149" s="763"/>
      <c r="X149" s="763"/>
      <c r="Y149" s="763"/>
      <c r="Z149" s="763"/>
    </row>
    <row r="150" ht="12.75" customHeight="1">
      <c r="A150" s="763"/>
      <c r="B150" s="763"/>
      <c r="C150" s="763"/>
      <c r="D150" s="763"/>
      <c r="E150" s="763"/>
      <c r="F150" s="763"/>
      <c r="G150" s="763"/>
      <c r="H150" s="763"/>
      <c r="I150" s="763"/>
      <c r="J150" s="763"/>
      <c r="K150" s="763"/>
      <c r="L150" s="763"/>
      <c r="M150" s="763"/>
      <c r="N150" s="763"/>
      <c r="O150" s="763"/>
      <c r="P150" s="763"/>
      <c r="Q150" s="763"/>
      <c r="R150" s="763"/>
      <c r="S150" s="763"/>
      <c r="T150" s="763"/>
      <c r="U150" s="763"/>
      <c r="V150" s="763"/>
      <c r="W150" s="763"/>
      <c r="X150" s="763"/>
      <c r="Y150" s="763"/>
      <c r="Z150" s="763"/>
    </row>
    <row r="151" ht="12.75" customHeight="1">
      <c r="A151" s="763"/>
      <c r="B151" s="763"/>
      <c r="C151" s="763"/>
      <c r="D151" s="763"/>
      <c r="E151" s="763"/>
      <c r="F151" s="763"/>
      <c r="G151" s="763"/>
      <c r="H151" s="763"/>
      <c r="I151" s="763"/>
      <c r="J151" s="763"/>
      <c r="K151" s="763"/>
      <c r="L151" s="763"/>
      <c r="M151" s="763"/>
      <c r="N151" s="763"/>
      <c r="O151" s="763"/>
      <c r="P151" s="763"/>
      <c r="Q151" s="763"/>
      <c r="R151" s="763"/>
      <c r="S151" s="763"/>
      <c r="T151" s="763"/>
      <c r="U151" s="763"/>
      <c r="V151" s="763"/>
      <c r="W151" s="763"/>
      <c r="X151" s="763"/>
      <c r="Y151" s="763"/>
      <c r="Z151" s="763"/>
    </row>
    <row r="152" ht="12.75" customHeight="1">
      <c r="A152" s="763"/>
      <c r="B152" s="763"/>
      <c r="C152" s="763"/>
      <c r="D152" s="763"/>
      <c r="E152" s="763"/>
      <c r="F152" s="763"/>
      <c r="G152" s="763"/>
      <c r="H152" s="763"/>
      <c r="I152" s="763"/>
      <c r="J152" s="763"/>
      <c r="K152" s="763"/>
      <c r="L152" s="763"/>
      <c r="M152" s="763"/>
      <c r="N152" s="763"/>
      <c r="O152" s="763"/>
      <c r="P152" s="763"/>
      <c r="Q152" s="763"/>
      <c r="R152" s="763"/>
      <c r="S152" s="763"/>
      <c r="T152" s="763"/>
      <c r="U152" s="763"/>
      <c r="V152" s="763"/>
      <c r="W152" s="763"/>
      <c r="X152" s="763"/>
      <c r="Y152" s="763"/>
      <c r="Z152" s="763"/>
    </row>
    <row r="153" ht="12.75" customHeight="1">
      <c r="A153" s="763"/>
      <c r="B153" s="763"/>
      <c r="C153" s="763"/>
      <c r="D153" s="763"/>
      <c r="E153" s="763"/>
      <c r="F153" s="763"/>
      <c r="G153" s="763"/>
      <c r="H153" s="763"/>
      <c r="I153" s="763"/>
      <c r="J153" s="763"/>
      <c r="K153" s="763"/>
      <c r="L153" s="763"/>
      <c r="M153" s="763"/>
      <c r="N153" s="763"/>
      <c r="O153" s="763"/>
      <c r="P153" s="763"/>
      <c r="Q153" s="763"/>
      <c r="R153" s="763"/>
      <c r="S153" s="763"/>
      <c r="T153" s="763"/>
      <c r="U153" s="763"/>
      <c r="V153" s="763"/>
      <c r="W153" s="763"/>
      <c r="X153" s="763"/>
      <c r="Y153" s="763"/>
      <c r="Z153" s="763"/>
    </row>
    <row r="154" ht="12.75" customHeight="1">
      <c r="A154" s="763"/>
      <c r="B154" s="763"/>
      <c r="C154" s="763"/>
      <c r="D154" s="763"/>
      <c r="E154" s="763"/>
      <c r="F154" s="763"/>
      <c r="G154" s="763"/>
      <c r="H154" s="763"/>
      <c r="I154" s="763"/>
      <c r="J154" s="763"/>
      <c r="K154" s="763"/>
      <c r="L154" s="763"/>
      <c r="M154" s="763"/>
      <c r="N154" s="763"/>
      <c r="O154" s="763"/>
      <c r="P154" s="763"/>
      <c r="Q154" s="763"/>
      <c r="R154" s="763"/>
      <c r="S154" s="763"/>
      <c r="T154" s="763"/>
      <c r="U154" s="763"/>
      <c r="V154" s="763"/>
      <c r="W154" s="763"/>
      <c r="X154" s="763"/>
      <c r="Y154" s="763"/>
      <c r="Z154" s="763"/>
    </row>
    <row r="155" ht="12.75" customHeight="1">
      <c r="A155" s="763"/>
      <c r="B155" s="763"/>
      <c r="C155" s="763"/>
      <c r="D155" s="763"/>
      <c r="E155" s="763"/>
      <c r="F155" s="763"/>
      <c r="G155" s="763"/>
      <c r="H155" s="763"/>
      <c r="I155" s="763"/>
      <c r="J155" s="763"/>
      <c r="K155" s="763"/>
      <c r="L155" s="763"/>
      <c r="M155" s="763"/>
      <c r="N155" s="763"/>
      <c r="O155" s="763"/>
      <c r="P155" s="763"/>
      <c r="Q155" s="763"/>
      <c r="R155" s="763"/>
      <c r="S155" s="763"/>
      <c r="T155" s="763"/>
      <c r="U155" s="763"/>
      <c r="V155" s="763"/>
      <c r="W155" s="763"/>
      <c r="X155" s="763"/>
      <c r="Y155" s="763"/>
      <c r="Z155" s="763"/>
    </row>
    <row r="156" ht="12.75" customHeight="1">
      <c r="A156" s="763"/>
      <c r="B156" s="763"/>
      <c r="C156" s="763"/>
      <c r="D156" s="763"/>
      <c r="E156" s="763"/>
      <c r="F156" s="763"/>
      <c r="G156" s="763"/>
      <c r="H156" s="763"/>
      <c r="I156" s="763"/>
      <c r="J156" s="763"/>
      <c r="K156" s="763"/>
      <c r="L156" s="763"/>
      <c r="M156" s="763"/>
      <c r="N156" s="763"/>
      <c r="O156" s="763"/>
      <c r="P156" s="763"/>
      <c r="Q156" s="763"/>
      <c r="R156" s="763"/>
      <c r="S156" s="763"/>
      <c r="T156" s="763"/>
      <c r="U156" s="763"/>
      <c r="V156" s="763"/>
      <c r="W156" s="763"/>
      <c r="X156" s="763"/>
      <c r="Y156" s="763"/>
      <c r="Z156" s="763"/>
    </row>
    <row r="157" ht="12.75" customHeight="1">
      <c r="A157" s="763"/>
      <c r="B157" s="763"/>
      <c r="C157" s="763"/>
      <c r="D157" s="763"/>
      <c r="E157" s="763"/>
      <c r="F157" s="763"/>
      <c r="G157" s="763"/>
      <c r="H157" s="763"/>
      <c r="I157" s="763"/>
      <c r="J157" s="763"/>
      <c r="K157" s="763"/>
      <c r="L157" s="763"/>
      <c r="M157" s="763"/>
      <c r="N157" s="763"/>
      <c r="O157" s="763"/>
      <c r="P157" s="763"/>
      <c r="Q157" s="763"/>
      <c r="R157" s="763"/>
      <c r="S157" s="763"/>
      <c r="T157" s="763"/>
      <c r="U157" s="763"/>
      <c r="V157" s="763"/>
      <c r="W157" s="763"/>
      <c r="X157" s="763"/>
      <c r="Y157" s="763"/>
      <c r="Z157" s="763"/>
    </row>
    <row r="158" ht="12.75" customHeight="1">
      <c r="A158" s="763"/>
      <c r="B158" s="763"/>
      <c r="C158" s="763"/>
      <c r="D158" s="763"/>
      <c r="E158" s="763"/>
      <c r="F158" s="763"/>
      <c r="G158" s="763"/>
      <c r="H158" s="763"/>
      <c r="I158" s="763"/>
      <c r="J158" s="763"/>
      <c r="K158" s="763"/>
      <c r="L158" s="763"/>
      <c r="M158" s="763"/>
      <c r="N158" s="763"/>
      <c r="O158" s="763"/>
      <c r="P158" s="763"/>
      <c r="Q158" s="763"/>
      <c r="R158" s="763"/>
      <c r="S158" s="763"/>
      <c r="T158" s="763"/>
      <c r="U158" s="763"/>
      <c r="V158" s="763"/>
      <c r="W158" s="763"/>
      <c r="X158" s="763"/>
      <c r="Y158" s="763"/>
      <c r="Z158" s="763"/>
    </row>
    <row r="159" ht="12.75" customHeight="1">
      <c r="A159" s="763"/>
      <c r="B159" s="763"/>
      <c r="C159" s="763"/>
      <c r="D159" s="763"/>
      <c r="E159" s="763"/>
      <c r="F159" s="763"/>
      <c r="G159" s="763"/>
      <c r="H159" s="763"/>
      <c r="I159" s="763"/>
      <c r="J159" s="763"/>
      <c r="K159" s="763"/>
      <c r="L159" s="763"/>
      <c r="M159" s="763"/>
      <c r="N159" s="763"/>
      <c r="O159" s="763"/>
      <c r="P159" s="763"/>
      <c r="Q159" s="763"/>
      <c r="R159" s="763"/>
      <c r="S159" s="763"/>
      <c r="T159" s="763"/>
      <c r="U159" s="763"/>
      <c r="V159" s="763"/>
      <c r="W159" s="763"/>
      <c r="X159" s="763"/>
      <c r="Y159" s="763"/>
      <c r="Z159" s="763"/>
    </row>
    <row r="160" ht="12.75" customHeight="1">
      <c r="A160" s="763"/>
      <c r="B160" s="763"/>
      <c r="C160" s="763"/>
      <c r="D160" s="763"/>
      <c r="E160" s="763"/>
      <c r="F160" s="763"/>
      <c r="G160" s="763"/>
      <c r="H160" s="763"/>
      <c r="I160" s="763"/>
      <c r="J160" s="763"/>
      <c r="K160" s="763"/>
      <c r="L160" s="763"/>
      <c r="M160" s="763"/>
      <c r="N160" s="763"/>
      <c r="O160" s="763"/>
      <c r="P160" s="763"/>
      <c r="Q160" s="763"/>
      <c r="R160" s="763"/>
      <c r="S160" s="763"/>
      <c r="T160" s="763"/>
      <c r="U160" s="763"/>
      <c r="V160" s="763"/>
      <c r="W160" s="763"/>
      <c r="X160" s="763"/>
      <c r="Y160" s="763"/>
      <c r="Z160" s="763"/>
    </row>
    <row r="161" ht="12.75" customHeight="1">
      <c r="A161" s="763"/>
      <c r="B161" s="763"/>
      <c r="C161" s="763"/>
      <c r="D161" s="763"/>
      <c r="E161" s="763"/>
      <c r="F161" s="763"/>
      <c r="G161" s="763"/>
      <c r="H161" s="763"/>
      <c r="I161" s="763"/>
      <c r="J161" s="763"/>
      <c r="K161" s="763"/>
      <c r="L161" s="763"/>
      <c r="M161" s="763"/>
      <c r="N161" s="763"/>
      <c r="O161" s="763"/>
      <c r="P161" s="763"/>
      <c r="Q161" s="763"/>
      <c r="R161" s="763"/>
      <c r="S161" s="763"/>
      <c r="T161" s="763"/>
      <c r="U161" s="763"/>
      <c r="V161" s="763"/>
      <c r="W161" s="763"/>
      <c r="X161" s="763"/>
      <c r="Y161" s="763"/>
      <c r="Z161" s="763"/>
    </row>
    <row r="162" ht="12.75" customHeight="1">
      <c r="A162" s="763"/>
      <c r="B162" s="763"/>
      <c r="C162" s="763"/>
      <c r="D162" s="763"/>
      <c r="E162" s="763"/>
      <c r="F162" s="763"/>
      <c r="G162" s="763"/>
      <c r="H162" s="763"/>
      <c r="I162" s="763"/>
      <c r="J162" s="763"/>
      <c r="K162" s="763"/>
      <c r="L162" s="763"/>
      <c r="M162" s="763"/>
      <c r="N162" s="763"/>
      <c r="O162" s="763"/>
      <c r="P162" s="763"/>
      <c r="Q162" s="763"/>
      <c r="R162" s="763"/>
      <c r="S162" s="763"/>
      <c r="T162" s="763"/>
      <c r="U162" s="763"/>
      <c r="V162" s="763"/>
      <c r="W162" s="763"/>
      <c r="X162" s="763"/>
      <c r="Y162" s="763"/>
      <c r="Z162" s="763"/>
    </row>
    <row r="163" ht="12.75" customHeight="1">
      <c r="A163" s="763"/>
      <c r="B163" s="763"/>
      <c r="C163" s="763"/>
      <c r="D163" s="763"/>
      <c r="E163" s="763"/>
      <c r="F163" s="763"/>
      <c r="G163" s="763"/>
      <c r="H163" s="763"/>
      <c r="I163" s="763"/>
      <c r="J163" s="763"/>
      <c r="K163" s="763"/>
      <c r="L163" s="763"/>
      <c r="M163" s="763"/>
      <c r="N163" s="763"/>
      <c r="O163" s="763"/>
      <c r="P163" s="763"/>
      <c r="Q163" s="763"/>
      <c r="R163" s="763"/>
      <c r="S163" s="763"/>
      <c r="T163" s="763"/>
      <c r="U163" s="763"/>
      <c r="V163" s="763"/>
      <c r="W163" s="763"/>
      <c r="X163" s="763"/>
      <c r="Y163" s="763"/>
      <c r="Z163" s="763"/>
    </row>
    <row r="164" ht="12.75" customHeight="1">
      <c r="A164" s="763"/>
      <c r="B164" s="763"/>
      <c r="C164" s="763"/>
      <c r="D164" s="763"/>
      <c r="E164" s="763"/>
      <c r="F164" s="763"/>
      <c r="G164" s="763"/>
      <c r="H164" s="763"/>
      <c r="I164" s="763"/>
      <c r="J164" s="763"/>
      <c r="K164" s="763"/>
      <c r="L164" s="763"/>
      <c r="M164" s="763"/>
      <c r="N164" s="763"/>
      <c r="O164" s="763"/>
      <c r="P164" s="763"/>
      <c r="Q164" s="763"/>
      <c r="R164" s="763"/>
      <c r="S164" s="763"/>
      <c r="T164" s="763"/>
      <c r="U164" s="763"/>
      <c r="V164" s="763"/>
      <c r="W164" s="763"/>
      <c r="X164" s="763"/>
      <c r="Y164" s="763"/>
      <c r="Z164" s="763"/>
    </row>
    <row r="165" ht="12.75" customHeight="1">
      <c r="A165" s="763"/>
      <c r="B165" s="763"/>
      <c r="C165" s="763"/>
      <c r="D165" s="763"/>
      <c r="E165" s="763"/>
      <c r="F165" s="763"/>
      <c r="G165" s="763"/>
      <c r="H165" s="763"/>
      <c r="I165" s="763"/>
      <c r="J165" s="763"/>
      <c r="K165" s="763"/>
      <c r="L165" s="763"/>
      <c r="M165" s="763"/>
      <c r="N165" s="763"/>
      <c r="O165" s="763"/>
      <c r="P165" s="763"/>
      <c r="Q165" s="763"/>
      <c r="R165" s="763"/>
      <c r="S165" s="763"/>
      <c r="T165" s="763"/>
      <c r="U165" s="763"/>
      <c r="V165" s="763"/>
      <c r="W165" s="763"/>
      <c r="X165" s="763"/>
      <c r="Y165" s="763"/>
      <c r="Z165" s="763"/>
    </row>
    <row r="166" ht="12.75" customHeight="1">
      <c r="A166" s="763"/>
      <c r="B166" s="763"/>
      <c r="C166" s="763"/>
      <c r="D166" s="763"/>
      <c r="E166" s="763"/>
      <c r="F166" s="763"/>
      <c r="G166" s="763"/>
      <c r="H166" s="763"/>
      <c r="I166" s="763"/>
      <c r="J166" s="763"/>
      <c r="K166" s="763"/>
      <c r="L166" s="763"/>
      <c r="M166" s="763"/>
      <c r="N166" s="763"/>
      <c r="O166" s="763"/>
      <c r="P166" s="763"/>
      <c r="Q166" s="763"/>
      <c r="R166" s="763"/>
      <c r="S166" s="763"/>
      <c r="T166" s="763"/>
      <c r="U166" s="763"/>
      <c r="V166" s="763"/>
      <c r="W166" s="763"/>
      <c r="X166" s="763"/>
      <c r="Y166" s="763"/>
      <c r="Z166" s="763"/>
    </row>
    <row r="167" ht="12.75" customHeight="1">
      <c r="A167" s="763"/>
      <c r="B167" s="763"/>
      <c r="C167" s="763"/>
      <c r="D167" s="763"/>
      <c r="E167" s="763"/>
      <c r="F167" s="763"/>
      <c r="G167" s="763"/>
      <c r="H167" s="763"/>
      <c r="I167" s="763"/>
      <c r="J167" s="763"/>
      <c r="K167" s="763"/>
      <c r="L167" s="763"/>
      <c r="M167" s="763"/>
      <c r="N167" s="763"/>
      <c r="O167" s="763"/>
      <c r="P167" s="763"/>
      <c r="Q167" s="763"/>
      <c r="R167" s="763"/>
      <c r="S167" s="763"/>
      <c r="T167" s="763"/>
      <c r="U167" s="763"/>
      <c r="V167" s="763"/>
      <c r="W167" s="763"/>
      <c r="X167" s="763"/>
      <c r="Y167" s="763"/>
      <c r="Z167" s="763"/>
    </row>
    <row r="168" ht="12.75" customHeight="1">
      <c r="A168" s="763"/>
      <c r="B168" s="763"/>
      <c r="C168" s="763"/>
      <c r="D168" s="763"/>
      <c r="E168" s="763"/>
      <c r="F168" s="763"/>
      <c r="G168" s="763"/>
      <c r="H168" s="763"/>
      <c r="I168" s="763"/>
      <c r="J168" s="763"/>
      <c r="K168" s="763"/>
      <c r="L168" s="763"/>
      <c r="M168" s="763"/>
      <c r="N168" s="763"/>
      <c r="O168" s="763"/>
      <c r="P168" s="763"/>
      <c r="Q168" s="763"/>
      <c r="R168" s="763"/>
      <c r="S168" s="763"/>
      <c r="T168" s="763"/>
      <c r="U168" s="763"/>
      <c r="V168" s="763"/>
      <c r="W168" s="763"/>
      <c r="X168" s="763"/>
      <c r="Y168" s="763"/>
      <c r="Z168" s="763"/>
    </row>
    <row r="169" ht="12.75" customHeight="1">
      <c r="A169" s="763"/>
      <c r="B169" s="763"/>
      <c r="C169" s="763"/>
      <c r="D169" s="763"/>
      <c r="E169" s="763"/>
      <c r="F169" s="763"/>
      <c r="G169" s="763"/>
      <c r="H169" s="763"/>
      <c r="I169" s="763"/>
      <c r="J169" s="763"/>
      <c r="K169" s="763"/>
      <c r="L169" s="763"/>
      <c r="M169" s="763"/>
      <c r="N169" s="763"/>
      <c r="O169" s="763"/>
      <c r="P169" s="763"/>
      <c r="Q169" s="763"/>
      <c r="R169" s="763"/>
      <c r="S169" s="763"/>
      <c r="T169" s="763"/>
      <c r="U169" s="763"/>
      <c r="V169" s="763"/>
      <c r="W169" s="763"/>
      <c r="X169" s="763"/>
      <c r="Y169" s="763"/>
      <c r="Z169" s="763"/>
    </row>
    <row r="170" ht="12.75" customHeight="1">
      <c r="A170" s="763"/>
      <c r="B170" s="763"/>
      <c r="C170" s="763"/>
      <c r="D170" s="763"/>
      <c r="E170" s="763"/>
      <c r="F170" s="763"/>
      <c r="G170" s="763"/>
      <c r="H170" s="763"/>
      <c r="I170" s="763"/>
      <c r="J170" s="763"/>
      <c r="K170" s="763"/>
      <c r="L170" s="763"/>
      <c r="M170" s="763"/>
      <c r="N170" s="763"/>
      <c r="O170" s="763"/>
      <c r="P170" s="763"/>
      <c r="Q170" s="763"/>
      <c r="R170" s="763"/>
      <c r="S170" s="763"/>
      <c r="T170" s="763"/>
      <c r="U170" s="763"/>
      <c r="V170" s="763"/>
      <c r="W170" s="763"/>
      <c r="X170" s="763"/>
      <c r="Y170" s="763"/>
      <c r="Z170" s="763"/>
    </row>
    <row r="171" ht="12.75" customHeight="1">
      <c r="A171" s="763"/>
      <c r="B171" s="763"/>
      <c r="C171" s="763"/>
      <c r="D171" s="763"/>
      <c r="E171" s="763"/>
      <c r="F171" s="763"/>
      <c r="G171" s="763"/>
      <c r="H171" s="763"/>
      <c r="I171" s="763"/>
      <c r="J171" s="763"/>
      <c r="K171" s="763"/>
      <c r="L171" s="763"/>
      <c r="M171" s="763"/>
      <c r="N171" s="763"/>
      <c r="O171" s="763"/>
      <c r="P171" s="763"/>
      <c r="Q171" s="763"/>
      <c r="R171" s="763"/>
      <c r="S171" s="763"/>
      <c r="T171" s="763"/>
      <c r="U171" s="763"/>
      <c r="V171" s="763"/>
      <c r="W171" s="763"/>
      <c r="X171" s="763"/>
      <c r="Y171" s="763"/>
      <c r="Z171" s="763"/>
    </row>
    <row r="172" ht="12.75" customHeight="1">
      <c r="A172" s="763"/>
      <c r="B172" s="763"/>
      <c r="C172" s="763"/>
      <c r="D172" s="763"/>
      <c r="E172" s="763"/>
      <c r="F172" s="763"/>
      <c r="G172" s="763"/>
      <c r="H172" s="763"/>
      <c r="I172" s="763"/>
      <c r="J172" s="763"/>
      <c r="K172" s="763"/>
      <c r="L172" s="763"/>
      <c r="M172" s="763"/>
      <c r="N172" s="763"/>
      <c r="O172" s="763"/>
      <c r="P172" s="763"/>
      <c r="Q172" s="763"/>
      <c r="R172" s="763"/>
      <c r="S172" s="763"/>
      <c r="T172" s="763"/>
      <c r="U172" s="763"/>
      <c r="V172" s="763"/>
      <c r="W172" s="763"/>
      <c r="X172" s="763"/>
      <c r="Y172" s="763"/>
      <c r="Z172" s="763"/>
    </row>
    <row r="173" ht="12.75" customHeight="1">
      <c r="A173" s="763"/>
      <c r="B173" s="763"/>
      <c r="C173" s="763"/>
      <c r="D173" s="763"/>
      <c r="E173" s="763"/>
      <c r="F173" s="763"/>
      <c r="G173" s="763"/>
      <c r="H173" s="763"/>
      <c r="I173" s="763"/>
      <c r="J173" s="763"/>
      <c r="K173" s="763"/>
      <c r="L173" s="763"/>
      <c r="M173" s="763"/>
      <c r="N173" s="763"/>
      <c r="O173" s="763"/>
      <c r="P173" s="763"/>
      <c r="Q173" s="763"/>
      <c r="R173" s="763"/>
      <c r="S173" s="763"/>
      <c r="T173" s="763"/>
      <c r="U173" s="763"/>
      <c r="V173" s="763"/>
      <c r="W173" s="763"/>
      <c r="X173" s="763"/>
      <c r="Y173" s="763"/>
      <c r="Z173" s="763"/>
    </row>
    <row r="174" ht="12.75" customHeight="1">
      <c r="A174" s="763"/>
      <c r="B174" s="763"/>
      <c r="C174" s="763"/>
      <c r="D174" s="763"/>
      <c r="E174" s="763"/>
      <c r="F174" s="763"/>
      <c r="G174" s="763"/>
      <c r="H174" s="763"/>
      <c r="I174" s="763"/>
      <c r="J174" s="763"/>
      <c r="K174" s="763"/>
      <c r="L174" s="763"/>
      <c r="M174" s="763"/>
      <c r="N174" s="763"/>
      <c r="O174" s="763"/>
      <c r="P174" s="763"/>
      <c r="Q174" s="763"/>
      <c r="R174" s="763"/>
      <c r="S174" s="763"/>
      <c r="T174" s="763"/>
      <c r="U174" s="763"/>
      <c r="V174" s="763"/>
      <c r="W174" s="763"/>
      <c r="X174" s="763"/>
      <c r="Y174" s="763"/>
      <c r="Z174" s="763"/>
    </row>
    <row r="175" ht="12.75" customHeight="1">
      <c r="A175" s="763"/>
      <c r="B175" s="763"/>
      <c r="C175" s="763"/>
      <c r="D175" s="763"/>
      <c r="E175" s="763"/>
      <c r="F175" s="763"/>
      <c r="G175" s="763"/>
      <c r="H175" s="763"/>
      <c r="I175" s="763"/>
      <c r="J175" s="763"/>
      <c r="K175" s="763"/>
      <c r="L175" s="763"/>
      <c r="M175" s="763"/>
      <c r="N175" s="763"/>
      <c r="O175" s="763"/>
      <c r="P175" s="763"/>
      <c r="Q175" s="763"/>
      <c r="R175" s="763"/>
      <c r="S175" s="763"/>
      <c r="T175" s="763"/>
      <c r="U175" s="763"/>
      <c r="V175" s="763"/>
      <c r="W175" s="763"/>
      <c r="X175" s="763"/>
      <c r="Y175" s="763"/>
      <c r="Z175" s="763"/>
    </row>
    <row r="176" ht="12.75" customHeight="1">
      <c r="A176" s="763"/>
      <c r="B176" s="763"/>
      <c r="C176" s="763"/>
      <c r="D176" s="763"/>
      <c r="E176" s="763"/>
      <c r="F176" s="763"/>
      <c r="G176" s="763"/>
      <c r="H176" s="763"/>
      <c r="I176" s="763"/>
      <c r="J176" s="763"/>
      <c r="K176" s="763"/>
      <c r="L176" s="763"/>
      <c r="M176" s="763"/>
      <c r="N176" s="763"/>
      <c r="O176" s="763"/>
      <c r="P176" s="763"/>
      <c r="Q176" s="763"/>
      <c r="R176" s="763"/>
      <c r="S176" s="763"/>
      <c r="T176" s="763"/>
      <c r="U176" s="763"/>
      <c r="V176" s="763"/>
      <c r="W176" s="763"/>
      <c r="X176" s="763"/>
      <c r="Y176" s="763"/>
      <c r="Z176" s="763"/>
    </row>
    <row r="177" ht="12.75" customHeight="1">
      <c r="A177" s="763"/>
      <c r="B177" s="763"/>
      <c r="C177" s="763"/>
      <c r="D177" s="763"/>
      <c r="E177" s="763"/>
      <c r="F177" s="763"/>
      <c r="G177" s="763"/>
      <c r="H177" s="763"/>
      <c r="I177" s="763"/>
      <c r="J177" s="763"/>
      <c r="K177" s="763"/>
      <c r="L177" s="763"/>
      <c r="M177" s="763"/>
      <c r="N177" s="763"/>
      <c r="O177" s="763"/>
      <c r="P177" s="763"/>
      <c r="Q177" s="763"/>
      <c r="R177" s="763"/>
      <c r="S177" s="763"/>
      <c r="T177" s="763"/>
      <c r="U177" s="763"/>
      <c r="V177" s="763"/>
      <c r="W177" s="763"/>
      <c r="X177" s="763"/>
      <c r="Y177" s="763"/>
      <c r="Z177" s="763"/>
    </row>
    <row r="178" ht="12.75" customHeight="1">
      <c r="A178" s="763"/>
      <c r="B178" s="763"/>
      <c r="C178" s="763"/>
      <c r="D178" s="763"/>
      <c r="E178" s="763"/>
      <c r="F178" s="763"/>
      <c r="G178" s="763"/>
      <c r="H178" s="763"/>
      <c r="I178" s="763"/>
      <c r="J178" s="763"/>
      <c r="K178" s="763"/>
      <c r="L178" s="763"/>
      <c r="M178" s="763"/>
      <c r="N178" s="763"/>
      <c r="O178" s="763"/>
      <c r="P178" s="763"/>
      <c r="Q178" s="763"/>
      <c r="R178" s="763"/>
      <c r="S178" s="763"/>
      <c r="T178" s="763"/>
      <c r="U178" s="763"/>
      <c r="V178" s="763"/>
      <c r="W178" s="763"/>
      <c r="X178" s="763"/>
      <c r="Y178" s="763"/>
      <c r="Z178" s="763"/>
    </row>
    <row r="179" ht="12.75" customHeight="1">
      <c r="A179" s="763"/>
      <c r="B179" s="763"/>
      <c r="C179" s="763"/>
      <c r="D179" s="763"/>
      <c r="E179" s="763"/>
      <c r="F179" s="763"/>
      <c r="G179" s="763"/>
      <c r="H179" s="763"/>
      <c r="I179" s="763"/>
      <c r="J179" s="763"/>
      <c r="K179" s="763"/>
      <c r="L179" s="763"/>
      <c r="M179" s="763"/>
      <c r="N179" s="763"/>
      <c r="O179" s="763"/>
      <c r="P179" s="763"/>
      <c r="Q179" s="763"/>
      <c r="R179" s="763"/>
      <c r="S179" s="763"/>
      <c r="T179" s="763"/>
      <c r="U179" s="763"/>
      <c r="V179" s="763"/>
      <c r="W179" s="763"/>
      <c r="X179" s="763"/>
      <c r="Y179" s="763"/>
      <c r="Z179" s="763"/>
    </row>
    <row r="180" ht="12.75" customHeight="1">
      <c r="A180" s="763"/>
      <c r="B180" s="763"/>
      <c r="C180" s="763"/>
      <c r="D180" s="763"/>
      <c r="E180" s="763"/>
      <c r="F180" s="763"/>
      <c r="G180" s="763"/>
      <c r="H180" s="763"/>
      <c r="I180" s="763"/>
      <c r="J180" s="763"/>
      <c r="K180" s="763"/>
      <c r="L180" s="763"/>
      <c r="M180" s="763"/>
      <c r="N180" s="763"/>
      <c r="O180" s="763"/>
      <c r="P180" s="763"/>
      <c r="Q180" s="763"/>
      <c r="R180" s="763"/>
      <c r="S180" s="763"/>
      <c r="T180" s="763"/>
      <c r="U180" s="763"/>
      <c r="V180" s="763"/>
      <c r="W180" s="763"/>
      <c r="X180" s="763"/>
      <c r="Y180" s="763"/>
      <c r="Z180" s="763"/>
    </row>
    <row r="181" ht="12.75" customHeight="1">
      <c r="A181" s="763"/>
      <c r="B181" s="763"/>
      <c r="C181" s="763"/>
      <c r="D181" s="763"/>
      <c r="E181" s="763"/>
      <c r="F181" s="763"/>
      <c r="G181" s="763"/>
      <c r="H181" s="763"/>
      <c r="I181" s="763"/>
      <c r="J181" s="763"/>
      <c r="K181" s="763"/>
      <c r="L181" s="763"/>
      <c r="M181" s="763"/>
      <c r="N181" s="763"/>
      <c r="O181" s="763"/>
      <c r="P181" s="763"/>
      <c r="Q181" s="763"/>
      <c r="R181" s="763"/>
      <c r="S181" s="763"/>
      <c r="T181" s="763"/>
      <c r="U181" s="763"/>
      <c r="V181" s="763"/>
      <c r="W181" s="763"/>
      <c r="X181" s="763"/>
      <c r="Y181" s="763"/>
      <c r="Z181" s="763"/>
    </row>
    <row r="182" ht="12.75" customHeight="1">
      <c r="A182" s="763"/>
      <c r="B182" s="763"/>
      <c r="C182" s="763"/>
      <c r="D182" s="763"/>
      <c r="E182" s="763"/>
      <c r="F182" s="763"/>
      <c r="G182" s="763"/>
      <c r="H182" s="763"/>
      <c r="I182" s="763"/>
      <c r="J182" s="763"/>
      <c r="K182" s="763"/>
      <c r="L182" s="763"/>
      <c r="M182" s="763"/>
      <c r="N182" s="763"/>
      <c r="O182" s="763"/>
      <c r="P182" s="763"/>
      <c r="Q182" s="763"/>
      <c r="R182" s="763"/>
      <c r="S182" s="763"/>
      <c r="T182" s="763"/>
      <c r="U182" s="763"/>
      <c r="V182" s="763"/>
      <c r="W182" s="763"/>
      <c r="X182" s="763"/>
      <c r="Y182" s="763"/>
      <c r="Z182" s="763"/>
    </row>
    <row r="183" ht="12.75" customHeight="1">
      <c r="A183" s="763"/>
      <c r="B183" s="763"/>
      <c r="C183" s="763"/>
      <c r="D183" s="763"/>
      <c r="E183" s="763"/>
      <c r="F183" s="763"/>
      <c r="G183" s="763"/>
      <c r="H183" s="763"/>
      <c r="I183" s="763"/>
      <c r="J183" s="763"/>
      <c r="K183" s="763"/>
      <c r="L183" s="763"/>
      <c r="M183" s="763"/>
      <c r="N183" s="763"/>
      <c r="O183" s="763"/>
      <c r="P183" s="763"/>
      <c r="Q183" s="763"/>
      <c r="R183" s="763"/>
      <c r="S183" s="763"/>
      <c r="T183" s="763"/>
      <c r="U183" s="763"/>
      <c r="V183" s="763"/>
      <c r="W183" s="763"/>
      <c r="X183" s="763"/>
      <c r="Y183" s="763"/>
      <c r="Z183" s="763"/>
    </row>
    <row r="184" ht="12.75" customHeight="1">
      <c r="A184" s="763"/>
      <c r="B184" s="763"/>
      <c r="C184" s="763"/>
      <c r="D184" s="763"/>
      <c r="E184" s="763"/>
      <c r="F184" s="763"/>
      <c r="G184" s="763"/>
      <c r="H184" s="763"/>
      <c r="I184" s="763"/>
      <c r="J184" s="763"/>
      <c r="K184" s="763"/>
      <c r="L184" s="763"/>
      <c r="M184" s="763"/>
      <c r="N184" s="763"/>
      <c r="O184" s="763"/>
      <c r="P184" s="763"/>
      <c r="Q184" s="763"/>
      <c r="R184" s="763"/>
      <c r="S184" s="763"/>
      <c r="T184" s="763"/>
      <c r="U184" s="763"/>
      <c r="V184" s="763"/>
      <c r="W184" s="763"/>
      <c r="X184" s="763"/>
      <c r="Y184" s="763"/>
      <c r="Z184" s="763"/>
    </row>
    <row r="185" ht="12.75" customHeight="1">
      <c r="A185" s="763"/>
      <c r="B185" s="763"/>
      <c r="C185" s="763"/>
      <c r="D185" s="763"/>
      <c r="E185" s="763"/>
      <c r="F185" s="763"/>
      <c r="G185" s="763"/>
      <c r="H185" s="763"/>
      <c r="I185" s="763"/>
      <c r="J185" s="763"/>
      <c r="K185" s="763"/>
      <c r="L185" s="763"/>
      <c r="M185" s="763"/>
      <c r="N185" s="763"/>
      <c r="O185" s="763"/>
      <c r="P185" s="763"/>
      <c r="Q185" s="763"/>
      <c r="R185" s="763"/>
      <c r="S185" s="763"/>
      <c r="T185" s="763"/>
      <c r="U185" s="763"/>
      <c r="V185" s="763"/>
      <c r="W185" s="763"/>
      <c r="X185" s="763"/>
      <c r="Y185" s="763"/>
      <c r="Z185" s="763"/>
    </row>
    <row r="186" ht="12.75" customHeight="1">
      <c r="A186" s="763"/>
      <c r="B186" s="763"/>
      <c r="C186" s="763"/>
      <c r="D186" s="763"/>
      <c r="E186" s="763"/>
      <c r="F186" s="763"/>
      <c r="G186" s="763"/>
      <c r="H186" s="763"/>
      <c r="I186" s="763"/>
      <c r="J186" s="763"/>
      <c r="K186" s="763"/>
      <c r="L186" s="763"/>
      <c r="M186" s="763"/>
      <c r="N186" s="763"/>
      <c r="O186" s="763"/>
      <c r="P186" s="763"/>
      <c r="Q186" s="763"/>
      <c r="R186" s="763"/>
      <c r="S186" s="763"/>
      <c r="T186" s="763"/>
      <c r="U186" s="763"/>
      <c r="V186" s="763"/>
      <c r="W186" s="763"/>
      <c r="X186" s="763"/>
      <c r="Y186" s="763"/>
      <c r="Z186" s="763"/>
    </row>
    <row r="187" ht="12.75" customHeight="1">
      <c r="A187" s="763"/>
      <c r="B187" s="763"/>
      <c r="C187" s="763"/>
      <c r="D187" s="763"/>
      <c r="E187" s="763"/>
      <c r="F187" s="763"/>
      <c r="G187" s="763"/>
      <c r="H187" s="763"/>
      <c r="I187" s="763"/>
      <c r="J187" s="763"/>
      <c r="K187" s="763"/>
      <c r="L187" s="763"/>
      <c r="M187" s="763"/>
      <c r="N187" s="763"/>
      <c r="O187" s="763"/>
      <c r="P187" s="763"/>
      <c r="Q187" s="763"/>
      <c r="R187" s="763"/>
      <c r="S187" s="763"/>
      <c r="T187" s="763"/>
      <c r="U187" s="763"/>
      <c r="V187" s="763"/>
      <c r="W187" s="763"/>
      <c r="X187" s="763"/>
      <c r="Y187" s="763"/>
      <c r="Z187" s="763"/>
    </row>
    <row r="188" ht="12.75" customHeight="1">
      <c r="A188" s="763"/>
      <c r="B188" s="763"/>
      <c r="C188" s="763"/>
      <c r="D188" s="763"/>
      <c r="E188" s="763"/>
      <c r="F188" s="763"/>
      <c r="G188" s="763"/>
      <c r="H188" s="763"/>
      <c r="I188" s="763"/>
      <c r="J188" s="763"/>
      <c r="K188" s="763"/>
      <c r="L188" s="763"/>
      <c r="M188" s="763"/>
      <c r="N188" s="763"/>
      <c r="O188" s="763"/>
      <c r="P188" s="763"/>
      <c r="Q188" s="763"/>
      <c r="R188" s="763"/>
      <c r="S188" s="763"/>
      <c r="T188" s="763"/>
      <c r="U188" s="763"/>
      <c r="V188" s="763"/>
      <c r="W188" s="763"/>
      <c r="X188" s="763"/>
      <c r="Y188" s="763"/>
      <c r="Z188" s="763"/>
    </row>
    <row r="189" ht="12.75" customHeight="1">
      <c r="A189" s="763"/>
      <c r="B189" s="763"/>
      <c r="C189" s="763"/>
      <c r="D189" s="763"/>
      <c r="E189" s="763"/>
      <c r="F189" s="763"/>
      <c r="G189" s="763"/>
      <c r="H189" s="763"/>
      <c r="I189" s="763"/>
      <c r="J189" s="763"/>
      <c r="K189" s="763"/>
      <c r="L189" s="763"/>
      <c r="M189" s="763"/>
      <c r="N189" s="763"/>
      <c r="O189" s="763"/>
      <c r="P189" s="763"/>
      <c r="Q189" s="763"/>
      <c r="R189" s="763"/>
      <c r="S189" s="763"/>
      <c r="T189" s="763"/>
      <c r="U189" s="763"/>
      <c r="V189" s="763"/>
      <c r="W189" s="763"/>
      <c r="X189" s="763"/>
      <c r="Y189" s="763"/>
      <c r="Z189" s="763"/>
    </row>
    <row r="190" ht="12.75" customHeight="1">
      <c r="A190" s="763"/>
      <c r="B190" s="763"/>
      <c r="C190" s="763"/>
      <c r="D190" s="763"/>
      <c r="E190" s="763"/>
      <c r="F190" s="763"/>
      <c r="G190" s="763"/>
      <c r="H190" s="763"/>
      <c r="I190" s="763"/>
      <c r="J190" s="763"/>
      <c r="K190" s="763"/>
      <c r="L190" s="763"/>
      <c r="M190" s="763"/>
      <c r="N190" s="763"/>
      <c r="O190" s="763"/>
      <c r="P190" s="763"/>
      <c r="Q190" s="763"/>
      <c r="R190" s="763"/>
      <c r="S190" s="763"/>
      <c r="T190" s="763"/>
      <c r="U190" s="763"/>
      <c r="V190" s="763"/>
      <c r="W190" s="763"/>
      <c r="X190" s="763"/>
      <c r="Y190" s="763"/>
      <c r="Z190" s="763"/>
    </row>
    <row r="191" ht="12.75" customHeight="1">
      <c r="A191" s="763"/>
      <c r="B191" s="763"/>
      <c r="C191" s="763"/>
      <c r="D191" s="763"/>
      <c r="E191" s="763"/>
      <c r="F191" s="763"/>
      <c r="G191" s="763"/>
      <c r="H191" s="763"/>
      <c r="I191" s="763"/>
      <c r="J191" s="763"/>
      <c r="K191" s="763"/>
      <c r="L191" s="763"/>
      <c r="M191" s="763"/>
      <c r="N191" s="763"/>
      <c r="O191" s="763"/>
      <c r="P191" s="763"/>
      <c r="Q191" s="763"/>
      <c r="R191" s="763"/>
      <c r="S191" s="763"/>
      <c r="T191" s="763"/>
      <c r="U191" s="763"/>
      <c r="V191" s="763"/>
      <c r="W191" s="763"/>
      <c r="X191" s="763"/>
      <c r="Y191" s="763"/>
      <c r="Z191" s="763"/>
    </row>
    <row r="192" ht="12.75" customHeight="1">
      <c r="A192" s="763"/>
      <c r="B192" s="763"/>
      <c r="C192" s="763"/>
      <c r="D192" s="763"/>
      <c r="E192" s="763"/>
      <c r="F192" s="763"/>
      <c r="G192" s="763"/>
      <c r="H192" s="763"/>
      <c r="I192" s="763"/>
      <c r="J192" s="763"/>
      <c r="K192" s="763"/>
      <c r="L192" s="763"/>
      <c r="M192" s="763"/>
      <c r="N192" s="763"/>
      <c r="O192" s="763"/>
      <c r="P192" s="763"/>
      <c r="Q192" s="763"/>
      <c r="R192" s="763"/>
      <c r="S192" s="763"/>
      <c r="T192" s="763"/>
      <c r="U192" s="763"/>
      <c r="V192" s="763"/>
      <c r="W192" s="763"/>
      <c r="X192" s="763"/>
      <c r="Y192" s="763"/>
      <c r="Z192" s="763"/>
    </row>
    <row r="193" ht="12.75" customHeight="1">
      <c r="A193" s="763"/>
      <c r="B193" s="763"/>
      <c r="C193" s="763"/>
      <c r="D193" s="763"/>
      <c r="E193" s="763"/>
      <c r="F193" s="763"/>
      <c r="G193" s="763"/>
      <c r="H193" s="763"/>
      <c r="I193" s="763"/>
      <c r="J193" s="763"/>
      <c r="K193" s="763"/>
      <c r="L193" s="763"/>
      <c r="M193" s="763"/>
      <c r="N193" s="763"/>
      <c r="O193" s="763"/>
      <c r="P193" s="763"/>
      <c r="Q193" s="763"/>
      <c r="R193" s="763"/>
      <c r="S193" s="763"/>
      <c r="T193" s="763"/>
      <c r="U193" s="763"/>
      <c r="V193" s="763"/>
      <c r="W193" s="763"/>
      <c r="X193" s="763"/>
      <c r="Y193" s="763"/>
      <c r="Z193" s="763"/>
    </row>
    <row r="194" ht="12.75" customHeight="1">
      <c r="A194" s="763"/>
      <c r="B194" s="763"/>
      <c r="C194" s="763"/>
      <c r="D194" s="763"/>
      <c r="E194" s="763"/>
      <c r="F194" s="763"/>
      <c r="G194" s="763"/>
      <c r="H194" s="763"/>
      <c r="I194" s="763"/>
      <c r="J194" s="763"/>
      <c r="K194" s="763"/>
      <c r="L194" s="763"/>
      <c r="M194" s="763"/>
      <c r="N194" s="763"/>
      <c r="O194" s="763"/>
      <c r="P194" s="763"/>
      <c r="Q194" s="763"/>
      <c r="R194" s="763"/>
      <c r="S194" s="763"/>
      <c r="T194" s="763"/>
      <c r="U194" s="763"/>
      <c r="V194" s="763"/>
      <c r="W194" s="763"/>
      <c r="X194" s="763"/>
      <c r="Y194" s="763"/>
      <c r="Z194" s="763"/>
    </row>
    <row r="195" ht="12.75" customHeight="1">
      <c r="A195" s="763"/>
      <c r="B195" s="763"/>
      <c r="C195" s="763"/>
      <c r="D195" s="763"/>
      <c r="E195" s="763"/>
      <c r="F195" s="763"/>
      <c r="G195" s="763"/>
      <c r="H195" s="763"/>
      <c r="I195" s="763"/>
      <c r="J195" s="763"/>
      <c r="K195" s="763"/>
      <c r="L195" s="763"/>
      <c r="M195" s="763"/>
      <c r="N195" s="763"/>
      <c r="O195" s="763"/>
      <c r="P195" s="763"/>
      <c r="Q195" s="763"/>
      <c r="R195" s="763"/>
      <c r="S195" s="763"/>
      <c r="T195" s="763"/>
      <c r="U195" s="763"/>
      <c r="V195" s="763"/>
      <c r="W195" s="763"/>
      <c r="X195" s="763"/>
      <c r="Y195" s="763"/>
      <c r="Z195" s="763"/>
    </row>
    <row r="196" ht="12.75" customHeight="1">
      <c r="A196" s="763"/>
      <c r="B196" s="763"/>
      <c r="C196" s="763"/>
      <c r="D196" s="763"/>
      <c r="E196" s="763"/>
      <c r="F196" s="763"/>
      <c r="G196" s="763"/>
      <c r="H196" s="763"/>
      <c r="I196" s="763"/>
      <c r="J196" s="763"/>
      <c r="K196" s="763"/>
      <c r="L196" s="763"/>
      <c r="M196" s="763"/>
      <c r="N196" s="763"/>
      <c r="O196" s="763"/>
      <c r="P196" s="763"/>
      <c r="Q196" s="763"/>
      <c r="R196" s="763"/>
      <c r="S196" s="763"/>
      <c r="T196" s="763"/>
      <c r="U196" s="763"/>
      <c r="V196" s="763"/>
      <c r="W196" s="763"/>
      <c r="X196" s="763"/>
      <c r="Y196" s="763"/>
      <c r="Z196" s="763"/>
    </row>
    <row r="197" ht="12.75" customHeight="1">
      <c r="A197" s="763"/>
      <c r="B197" s="763"/>
      <c r="C197" s="763"/>
      <c r="D197" s="763"/>
      <c r="E197" s="763"/>
      <c r="F197" s="763"/>
      <c r="G197" s="763"/>
      <c r="H197" s="763"/>
      <c r="I197" s="763"/>
      <c r="J197" s="763"/>
      <c r="K197" s="763"/>
      <c r="L197" s="763"/>
      <c r="M197" s="763"/>
      <c r="N197" s="763"/>
      <c r="O197" s="763"/>
      <c r="P197" s="763"/>
      <c r="Q197" s="763"/>
      <c r="R197" s="763"/>
      <c r="S197" s="763"/>
      <c r="T197" s="763"/>
      <c r="U197" s="763"/>
      <c r="V197" s="763"/>
      <c r="W197" s="763"/>
      <c r="X197" s="763"/>
      <c r="Y197" s="763"/>
      <c r="Z197" s="763"/>
    </row>
    <row r="198" ht="12.75" customHeight="1">
      <c r="A198" s="763"/>
      <c r="B198" s="763"/>
      <c r="C198" s="763"/>
      <c r="D198" s="763"/>
      <c r="E198" s="763"/>
      <c r="F198" s="763"/>
      <c r="G198" s="763"/>
      <c r="H198" s="763"/>
      <c r="I198" s="763"/>
      <c r="J198" s="763"/>
      <c r="K198" s="763"/>
      <c r="L198" s="763"/>
      <c r="M198" s="763"/>
      <c r="N198" s="763"/>
      <c r="O198" s="763"/>
      <c r="P198" s="763"/>
      <c r="Q198" s="763"/>
      <c r="R198" s="763"/>
      <c r="S198" s="763"/>
      <c r="T198" s="763"/>
      <c r="U198" s="763"/>
      <c r="V198" s="763"/>
      <c r="W198" s="763"/>
      <c r="X198" s="763"/>
      <c r="Y198" s="763"/>
      <c r="Z198" s="763"/>
    </row>
    <row r="199" ht="12.75" customHeight="1">
      <c r="A199" s="763"/>
      <c r="B199" s="763"/>
      <c r="C199" s="763"/>
      <c r="D199" s="763"/>
      <c r="E199" s="763"/>
      <c r="F199" s="763"/>
      <c r="G199" s="763"/>
      <c r="H199" s="763"/>
      <c r="I199" s="763"/>
      <c r="J199" s="763"/>
      <c r="K199" s="763"/>
      <c r="L199" s="763"/>
      <c r="M199" s="763"/>
      <c r="N199" s="763"/>
      <c r="O199" s="763"/>
      <c r="P199" s="763"/>
      <c r="Q199" s="763"/>
      <c r="R199" s="763"/>
      <c r="S199" s="763"/>
      <c r="T199" s="763"/>
      <c r="U199" s="763"/>
      <c r="V199" s="763"/>
      <c r="W199" s="763"/>
      <c r="X199" s="763"/>
      <c r="Y199" s="763"/>
      <c r="Z199" s="763"/>
    </row>
    <row r="200" ht="12.75" customHeight="1">
      <c r="A200" s="763"/>
      <c r="B200" s="763"/>
      <c r="C200" s="763"/>
      <c r="D200" s="763"/>
      <c r="E200" s="763"/>
      <c r="F200" s="763"/>
      <c r="G200" s="763"/>
      <c r="H200" s="763"/>
      <c r="I200" s="763"/>
      <c r="J200" s="763"/>
      <c r="K200" s="763"/>
      <c r="L200" s="763"/>
      <c r="M200" s="763"/>
      <c r="N200" s="763"/>
      <c r="O200" s="763"/>
      <c r="P200" s="763"/>
      <c r="Q200" s="763"/>
      <c r="R200" s="763"/>
      <c r="S200" s="763"/>
      <c r="T200" s="763"/>
      <c r="U200" s="763"/>
      <c r="V200" s="763"/>
      <c r="W200" s="763"/>
      <c r="X200" s="763"/>
      <c r="Y200" s="763"/>
      <c r="Z200" s="763"/>
    </row>
    <row r="201" ht="12.75" customHeight="1">
      <c r="A201" s="763"/>
      <c r="B201" s="763"/>
      <c r="C201" s="763"/>
      <c r="D201" s="763"/>
      <c r="E201" s="763"/>
      <c r="F201" s="763"/>
      <c r="G201" s="763"/>
      <c r="H201" s="763"/>
      <c r="I201" s="763"/>
      <c r="J201" s="763"/>
      <c r="K201" s="763"/>
      <c r="L201" s="763"/>
      <c r="M201" s="763"/>
      <c r="N201" s="763"/>
      <c r="O201" s="763"/>
      <c r="P201" s="763"/>
      <c r="Q201" s="763"/>
      <c r="R201" s="763"/>
      <c r="S201" s="763"/>
      <c r="T201" s="763"/>
      <c r="U201" s="763"/>
      <c r="V201" s="763"/>
      <c r="W201" s="763"/>
      <c r="X201" s="763"/>
      <c r="Y201" s="763"/>
      <c r="Z201" s="763"/>
    </row>
    <row r="202" ht="12.75" customHeight="1">
      <c r="A202" s="763"/>
      <c r="B202" s="763"/>
      <c r="C202" s="763"/>
      <c r="D202" s="763"/>
      <c r="E202" s="763"/>
      <c r="F202" s="763"/>
      <c r="G202" s="763"/>
      <c r="H202" s="763"/>
      <c r="I202" s="763"/>
      <c r="J202" s="763"/>
      <c r="K202" s="763"/>
      <c r="L202" s="763"/>
      <c r="M202" s="763"/>
      <c r="N202" s="763"/>
      <c r="O202" s="763"/>
      <c r="P202" s="763"/>
      <c r="Q202" s="763"/>
      <c r="R202" s="763"/>
      <c r="S202" s="763"/>
      <c r="T202" s="763"/>
      <c r="U202" s="763"/>
      <c r="V202" s="763"/>
      <c r="W202" s="763"/>
      <c r="X202" s="763"/>
      <c r="Y202" s="763"/>
      <c r="Z202" s="763"/>
    </row>
    <row r="203" ht="12.75" customHeight="1">
      <c r="A203" s="763"/>
      <c r="B203" s="763"/>
      <c r="C203" s="763"/>
      <c r="D203" s="763"/>
      <c r="E203" s="763"/>
      <c r="F203" s="763"/>
      <c r="G203" s="763"/>
      <c r="H203" s="763"/>
      <c r="I203" s="763"/>
      <c r="J203" s="763"/>
      <c r="K203" s="763"/>
      <c r="L203" s="763"/>
      <c r="M203" s="763"/>
      <c r="N203" s="763"/>
      <c r="O203" s="763"/>
      <c r="P203" s="763"/>
      <c r="Q203" s="763"/>
      <c r="R203" s="763"/>
      <c r="S203" s="763"/>
      <c r="T203" s="763"/>
      <c r="U203" s="763"/>
      <c r="V203" s="763"/>
      <c r="W203" s="763"/>
      <c r="X203" s="763"/>
      <c r="Y203" s="763"/>
      <c r="Z203" s="763"/>
    </row>
    <row r="204" ht="12.75" customHeight="1">
      <c r="A204" s="763"/>
      <c r="B204" s="763"/>
      <c r="C204" s="763"/>
      <c r="D204" s="763"/>
      <c r="E204" s="763"/>
      <c r="F204" s="763"/>
      <c r="G204" s="763"/>
      <c r="H204" s="763"/>
      <c r="I204" s="763"/>
      <c r="J204" s="763"/>
      <c r="K204" s="763"/>
      <c r="L204" s="763"/>
      <c r="M204" s="763"/>
      <c r="N204" s="763"/>
      <c r="O204" s="763"/>
      <c r="P204" s="763"/>
      <c r="Q204" s="763"/>
      <c r="R204" s="763"/>
      <c r="S204" s="763"/>
      <c r="T204" s="763"/>
      <c r="U204" s="763"/>
      <c r="V204" s="763"/>
      <c r="W204" s="763"/>
      <c r="X204" s="763"/>
      <c r="Y204" s="763"/>
      <c r="Z204" s="763"/>
    </row>
    <row r="205" ht="12.75" customHeight="1">
      <c r="A205" s="763"/>
      <c r="B205" s="763"/>
      <c r="C205" s="763"/>
      <c r="D205" s="763"/>
      <c r="E205" s="763"/>
      <c r="F205" s="763"/>
      <c r="G205" s="763"/>
      <c r="H205" s="763"/>
      <c r="I205" s="763"/>
      <c r="J205" s="763"/>
      <c r="K205" s="763"/>
      <c r="L205" s="763"/>
      <c r="M205" s="763"/>
      <c r="N205" s="763"/>
      <c r="O205" s="763"/>
      <c r="P205" s="763"/>
      <c r="Q205" s="763"/>
      <c r="R205" s="763"/>
      <c r="S205" s="763"/>
      <c r="T205" s="763"/>
      <c r="U205" s="763"/>
      <c r="V205" s="763"/>
      <c r="W205" s="763"/>
      <c r="X205" s="763"/>
      <c r="Y205" s="763"/>
      <c r="Z205" s="763"/>
    </row>
    <row r="206" ht="12.75" customHeight="1">
      <c r="A206" s="763"/>
      <c r="B206" s="763"/>
      <c r="C206" s="763"/>
      <c r="D206" s="763"/>
      <c r="E206" s="763"/>
      <c r="F206" s="763"/>
      <c r="G206" s="763"/>
      <c r="H206" s="763"/>
      <c r="I206" s="763"/>
      <c r="J206" s="763"/>
      <c r="K206" s="763"/>
      <c r="L206" s="763"/>
      <c r="M206" s="763"/>
      <c r="N206" s="763"/>
      <c r="O206" s="763"/>
      <c r="P206" s="763"/>
      <c r="Q206" s="763"/>
      <c r="R206" s="763"/>
      <c r="S206" s="763"/>
      <c r="T206" s="763"/>
      <c r="U206" s="763"/>
      <c r="V206" s="763"/>
      <c r="W206" s="763"/>
      <c r="X206" s="763"/>
      <c r="Y206" s="763"/>
      <c r="Z206" s="763"/>
    </row>
    <row r="207" ht="12.75" customHeight="1">
      <c r="A207" s="763"/>
      <c r="B207" s="763"/>
      <c r="C207" s="763"/>
      <c r="D207" s="763"/>
      <c r="E207" s="763"/>
      <c r="F207" s="763"/>
      <c r="G207" s="763"/>
      <c r="H207" s="763"/>
      <c r="I207" s="763"/>
      <c r="J207" s="763"/>
      <c r="K207" s="763"/>
      <c r="L207" s="763"/>
      <c r="M207" s="763"/>
      <c r="N207" s="763"/>
      <c r="O207" s="763"/>
      <c r="P207" s="763"/>
      <c r="Q207" s="763"/>
      <c r="R207" s="763"/>
      <c r="S207" s="763"/>
      <c r="T207" s="763"/>
      <c r="U207" s="763"/>
      <c r="V207" s="763"/>
      <c r="W207" s="763"/>
      <c r="X207" s="763"/>
      <c r="Y207" s="763"/>
      <c r="Z207" s="763"/>
    </row>
    <row r="208" ht="12.75" customHeight="1">
      <c r="A208" s="763"/>
      <c r="B208" s="763"/>
      <c r="C208" s="763"/>
      <c r="D208" s="763"/>
      <c r="E208" s="763"/>
      <c r="F208" s="763"/>
      <c r="G208" s="763"/>
      <c r="H208" s="763"/>
      <c r="I208" s="763"/>
      <c r="J208" s="763"/>
      <c r="K208" s="763"/>
      <c r="L208" s="763"/>
      <c r="M208" s="763"/>
      <c r="N208" s="763"/>
      <c r="O208" s="763"/>
      <c r="P208" s="763"/>
      <c r="Q208" s="763"/>
      <c r="R208" s="763"/>
      <c r="S208" s="763"/>
      <c r="T208" s="763"/>
      <c r="U208" s="763"/>
      <c r="V208" s="763"/>
      <c r="W208" s="763"/>
      <c r="X208" s="763"/>
      <c r="Y208" s="763"/>
      <c r="Z208" s="763"/>
    </row>
    <row r="209" ht="12.75" customHeight="1">
      <c r="A209" s="763"/>
      <c r="B209" s="763"/>
      <c r="C209" s="763"/>
      <c r="D209" s="763"/>
      <c r="E209" s="763"/>
      <c r="F209" s="763"/>
      <c r="G209" s="763"/>
      <c r="H209" s="763"/>
      <c r="I209" s="763"/>
      <c r="J209" s="763"/>
      <c r="K209" s="763"/>
      <c r="L209" s="763"/>
      <c r="M209" s="763"/>
      <c r="N209" s="763"/>
      <c r="O209" s="763"/>
      <c r="P209" s="763"/>
      <c r="Q209" s="763"/>
      <c r="R209" s="763"/>
      <c r="S209" s="763"/>
      <c r="T209" s="763"/>
      <c r="U209" s="763"/>
      <c r="V209" s="763"/>
      <c r="W209" s="763"/>
      <c r="X209" s="763"/>
      <c r="Y209" s="763"/>
      <c r="Z209" s="763"/>
    </row>
    <row r="210" ht="12.75" customHeight="1">
      <c r="A210" s="763"/>
      <c r="B210" s="763"/>
      <c r="C210" s="763"/>
      <c r="D210" s="763"/>
      <c r="E210" s="763"/>
      <c r="F210" s="763"/>
      <c r="G210" s="763"/>
      <c r="H210" s="763"/>
      <c r="I210" s="763"/>
      <c r="J210" s="763"/>
      <c r="K210" s="763"/>
      <c r="L210" s="763"/>
      <c r="M210" s="763"/>
      <c r="N210" s="763"/>
      <c r="O210" s="763"/>
      <c r="P210" s="763"/>
      <c r="Q210" s="763"/>
      <c r="R210" s="763"/>
      <c r="S210" s="763"/>
      <c r="T210" s="763"/>
      <c r="U210" s="763"/>
      <c r="V210" s="763"/>
      <c r="W210" s="763"/>
      <c r="X210" s="763"/>
      <c r="Y210" s="763"/>
      <c r="Z210" s="763"/>
    </row>
    <row r="211" ht="12.75" customHeight="1">
      <c r="A211" s="763"/>
      <c r="B211" s="763"/>
      <c r="C211" s="763"/>
      <c r="D211" s="763"/>
      <c r="E211" s="763"/>
      <c r="F211" s="763"/>
      <c r="G211" s="763"/>
      <c r="H211" s="763"/>
      <c r="I211" s="763"/>
      <c r="J211" s="763"/>
      <c r="K211" s="763"/>
      <c r="L211" s="763"/>
      <c r="M211" s="763"/>
      <c r="N211" s="763"/>
      <c r="O211" s="763"/>
      <c r="P211" s="763"/>
      <c r="Q211" s="763"/>
      <c r="R211" s="763"/>
      <c r="S211" s="763"/>
      <c r="T211" s="763"/>
      <c r="U211" s="763"/>
      <c r="V211" s="763"/>
      <c r="W211" s="763"/>
      <c r="X211" s="763"/>
      <c r="Y211" s="763"/>
      <c r="Z211" s="763"/>
    </row>
    <row r="212" ht="12.75" customHeight="1">
      <c r="A212" s="763"/>
      <c r="B212" s="763"/>
      <c r="C212" s="763"/>
      <c r="D212" s="763"/>
      <c r="E212" s="763"/>
      <c r="F212" s="763"/>
      <c r="G212" s="763"/>
      <c r="H212" s="763"/>
      <c r="I212" s="763"/>
      <c r="J212" s="763"/>
      <c r="K212" s="763"/>
      <c r="L212" s="763"/>
      <c r="M212" s="763"/>
      <c r="N212" s="763"/>
      <c r="O212" s="763"/>
      <c r="P212" s="763"/>
      <c r="Q212" s="763"/>
      <c r="R212" s="763"/>
      <c r="S212" s="763"/>
      <c r="T212" s="763"/>
      <c r="U212" s="763"/>
      <c r="V212" s="763"/>
      <c r="W212" s="763"/>
      <c r="X212" s="763"/>
      <c r="Y212" s="763"/>
      <c r="Z212" s="763"/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6" width="7.0"/>
    <col customWidth="1" min="7" max="26" width="11.0"/>
  </cols>
  <sheetData>
    <row r="1" ht="26.25" customHeight="1">
      <c r="A1" s="778" t="s">
        <v>69</v>
      </c>
      <c r="B1" s="779" t="s">
        <v>70</v>
      </c>
      <c r="C1" s="779" t="s">
        <v>365</v>
      </c>
      <c r="D1" s="779" t="s">
        <v>366</v>
      </c>
      <c r="E1" s="780" t="s">
        <v>367</v>
      </c>
    </row>
    <row r="2" ht="12.75" customHeight="1">
      <c r="A2" s="781">
        <v>2003.0</v>
      </c>
      <c r="B2" s="782" t="s">
        <v>36</v>
      </c>
      <c r="C2" s="782" t="s">
        <v>368</v>
      </c>
      <c r="D2" s="782" t="s">
        <v>368</v>
      </c>
      <c r="E2" s="617" t="s">
        <v>368</v>
      </c>
    </row>
    <row r="3" ht="12.75" customHeight="1">
      <c r="A3" s="783">
        <v>2004.0</v>
      </c>
      <c r="B3" s="784" t="s">
        <v>39</v>
      </c>
      <c r="C3" s="784">
        <v>328.0</v>
      </c>
      <c r="D3" s="784">
        <v>278.0</v>
      </c>
      <c r="E3" s="785" t="s">
        <v>35</v>
      </c>
    </row>
    <row r="4" ht="12.75" customHeight="1">
      <c r="A4" s="786">
        <v>2005.0</v>
      </c>
      <c r="B4" s="787" t="s">
        <v>36</v>
      </c>
      <c r="C4" s="787">
        <v>244.0</v>
      </c>
      <c r="D4" s="787">
        <v>207.0</v>
      </c>
      <c r="E4" s="620" t="s">
        <v>39</v>
      </c>
    </row>
    <row r="5" ht="12.75" customHeight="1">
      <c r="A5" s="786">
        <v>2006.0</v>
      </c>
      <c r="B5" s="787" t="s">
        <v>36</v>
      </c>
      <c r="C5" s="787">
        <v>254.0</v>
      </c>
      <c r="D5" s="787">
        <v>219.0</v>
      </c>
      <c r="E5" s="620" t="s">
        <v>44</v>
      </c>
    </row>
    <row r="6" ht="12.75" customHeight="1">
      <c r="A6" s="786">
        <v>2007.0</v>
      </c>
      <c r="B6" s="787" t="s">
        <v>42</v>
      </c>
      <c r="C6" s="787">
        <v>123.5</v>
      </c>
      <c r="D6" s="787">
        <v>100.5</v>
      </c>
      <c r="E6" s="620" t="s">
        <v>248</v>
      </c>
    </row>
    <row r="7" ht="12.75" customHeight="1">
      <c r="A7" s="786">
        <v>2008.0</v>
      </c>
      <c r="B7" s="787" t="s">
        <v>248</v>
      </c>
      <c r="C7" s="787">
        <v>165.0</v>
      </c>
      <c r="D7" s="787">
        <v>147.0</v>
      </c>
      <c r="E7" s="620" t="s">
        <v>42</v>
      </c>
    </row>
    <row r="8" ht="12.75" customHeight="1">
      <c r="A8" s="786">
        <v>2009.0</v>
      </c>
      <c r="B8" s="787" t="s">
        <v>38</v>
      </c>
      <c r="C8" s="787">
        <v>144.5</v>
      </c>
      <c r="D8" s="787">
        <v>123.0</v>
      </c>
      <c r="E8" s="620" t="s">
        <v>39</v>
      </c>
    </row>
    <row r="9" ht="12.75" customHeight="1">
      <c r="A9" s="786">
        <v>2010.0</v>
      </c>
      <c r="B9" s="787" t="s">
        <v>40</v>
      </c>
      <c r="C9" s="787">
        <v>136.0</v>
      </c>
      <c r="D9" s="787">
        <v>125.5</v>
      </c>
      <c r="E9" s="620" t="s">
        <v>38</v>
      </c>
    </row>
    <row r="10" ht="12.75" customHeight="1">
      <c r="A10" s="786">
        <v>2011.0</v>
      </c>
      <c r="B10" s="787" t="s">
        <v>38</v>
      </c>
      <c r="C10" s="787">
        <v>160.0</v>
      </c>
      <c r="D10" s="787">
        <v>157.0</v>
      </c>
      <c r="E10" s="620" t="s">
        <v>34</v>
      </c>
    </row>
    <row r="11" ht="12.75" customHeight="1">
      <c r="A11" s="786">
        <v>2012.0</v>
      </c>
      <c r="B11" s="787" t="s">
        <v>37</v>
      </c>
      <c r="C11" s="787">
        <v>177.0</v>
      </c>
      <c r="D11" s="787">
        <v>129.5</v>
      </c>
      <c r="E11" s="620" t="s">
        <v>43</v>
      </c>
    </row>
    <row r="12" ht="12.75" customHeight="1">
      <c r="A12" s="786">
        <v>2013.0</v>
      </c>
      <c r="B12" s="787" t="s">
        <v>37</v>
      </c>
      <c r="C12" s="787">
        <v>131.5</v>
      </c>
      <c r="D12" s="787">
        <v>130.0</v>
      </c>
      <c r="E12" s="620" t="s">
        <v>31</v>
      </c>
    </row>
    <row r="13" ht="12.75" customHeight="1">
      <c r="A13" s="786">
        <v>2014.0</v>
      </c>
      <c r="B13" s="787" t="s">
        <v>39</v>
      </c>
      <c r="C13" s="787">
        <v>86.0</v>
      </c>
      <c r="D13" s="787">
        <v>73.5</v>
      </c>
      <c r="E13" s="620" t="s">
        <v>42</v>
      </c>
    </row>
    <row r="14" ht="12.75" customHeight="1">
      <c r="A14" s="786">
        <v>2015.0</v>
      </c>
      <c r="B14" s="787" t="s">
        <v>30</v>
      </c>
      <c r="C14" s="787">
        <v>119.5</v>
      </c>
      <c r="D14" s="787">
        <v>119.5</v>
      </c>
      <c r="E14" s="620" t="s">
        <v>38</v>
      </c>
      <c r="F14" s="555" t="s">
        <v>369</v>
      </c>
    </row>
    <row r="15" ht="12.75" customHeight="1">
      <c r="A15" s="786">
        <v>2016.0</v>
      </c>
      <c r="B15" s="787" t="s">
        <v>38</v>
      </c>
      <c r="C15" s="787">
        <v>141.0</v>
      </c>
      <c r="D15" s="787">
        <v>134.8</v>
      </c>
      <c r="E15" s="620" t="s">
        <v>30</v>
      </c>
    </row>
    <row r="16" ht="12.75" customHeight="1">
      <c r="A16" s="786">
        <v>2017.0</v>
      </c>
      <c r="B16" s="787" t="s">
        <v>37</v>
      </c>
      <c r="C16" s="787">
        <v>136.0</v>
      </c>
      <c r="D16" s="787">
        <v>117.0</v>
      </c>
      <c r="E16" s="620" t="s">
        <v>39</v>
      </c>
    </row>
    <row r="17" ht="12.75" customHeight="1">
      <c r="A17" s="786">
        <v>2018.0</v>
      </c>
      <c r="B17" s="788" t="s">
        <v>36</v>
      </c>
      <c r="C17" s="788">
        <v>168.5</v>
      </c>
      <c r="D17" s="788">
        <v>134.5</v>
      </c>
      <c r="E17" s="789" t="s">
        <v>31</v>
      </c>
    </row>
    <row r="18" ht="12.75" customHeight="1">
      <c r="A18" s="790">
        <v>2019.0</v>
      </c>
      <c r="B18" s="790" t="s">
        <v>178</v>
      </c>
      <c r="C18" s="790">
        <v>151.5</v>
      </c>
      <c r="D18" s="790">
        <v>150.0</v>
      </c>
      <c r="E18" s="791" t="s">
        <v>31</v>
      </c>
    </row>
    <row r="19" ht="12.75" customHeight="1">
      <c r="A19" s="792">
        <v>2020.0</v>
      </c>
      <c r="B19" s="788" t="s">
        <v>35</v>
      </c>
      <c r="C19" s="788">
        <v>171.86</v>
      </c>
      <c r="D19" s="788">
        <v>111.74</v>
      </c>
      <c r="E19" s="789" t="s">
        <v>116</v>
      </c>
    </row>
    <row r="20" ht="12.75" customHeight="1">
      <c r="A20" s="790">
        <v>2021.0</v>
      </c>
      <c r="B20" s="790" t="s">
        <v>34</v>
      </c>
      <c r="C20" s="790">
        <v>182.2</v>
      </c>
      <c r="D20" s="790">
        <v>177.12</v>
      </c>
      <c r="E20" s="791" t="s">
        <v>39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88"/>
    <col customWidth="1" min="3" max="3" width="15.25"/>
    <col customWidth="1" min="4" max="4" width="8.75"/>
  </cols>
  <sheetData>
    <row r="1">
      <c r="A1" s="793" t="s">
        <v>274</v>
      </c>
      <c r="B1" s="794" t="s">
        <v>370</v>
      </c>
      <c r="C1" s="795" t="s">
        <v>371</v>
      </c>
      <c r="D1" s="796" t="s">
        <v>372</v>
      </c>
    </row>
    <row r="2">
      <c r="A2" s="797" t="s">
        <v>42</v>
      </c>
      <c r="B2" s="798"/>
      <c r="C2" s="799"/>
      <c r="D2" s="800" t="s">
        <v>373</v>
      </c>
    </row>
    <row r="3">
      <c r="A3" s="801" t="s">
        <v>116</v>
      </c>
      <c r="B3" s="802"/>
      <c r="C3" s="803"/>
      <c r="D3" s="804" t="s">
        <v>374</v>
      </c>
    </row>
    <row r="4">
      <c r="A4" s="801" t="s">
        <v>36</v>
      </c>
      <c r="B4" s="802"/>
      <c r="C4" s="803"/>
      <c r="D4" s="804" t="s">
        <v>375</v>
      </c>
    </row>
    <row r="5">
      <c r="A5" s="801" t="s">
        <v>214</v>
      </c>
      <c r="B5" s="802"/>
      <c r="C5" s="803"/>
      <c r="D5" s="804" t="s">
        <v>376</v>
      </c>
    </row>
    <row r="6">
      <c r="A6" s="801" t="s">
        <v>46</v>
      </c>
      <c r="B6" s="802"/>
      <c r="C6" s="803"/>
      <c r="D6" s="804" t="s">
        <v>377</v>
      </c>
    </row>
    <row r="7">
      <c r="A7" s="801" t="s">
        <v>34</v>
      </c>
      <c r="B7" s="802"/>
      <c r="C7" s="803"/>
      <c r="D7" s="804" t="s">
        <v>373</v>
      </c>
    </row>
    <row r="8">
      <c r="A8" s="801" t="s">
        <v>37</v>
      </c>
      <c r="B8" s="802"/>
      <c r="C8" s="803"/>
      <c r="D8" s="804" t="s">
        <v>373</v>
      </c>
    </row>
    <row r="9">
      <c r="A9" s="801" t="s">
        <v>30</v>
      </c>
      <c r="B9" s="802"/>
      <c r="C9" s="803"/>
      <c r="D9" s="804" t="s">
        <v>378</v>
      </c>
    </row>
    <row r="10">
      <c r="A10" s="801" t="s">
        <v>38</v>
      </c>
      <c r="B10" s="802"/>
      <c r="C10" s="803"/>
      <c r="D10" s="804" t="s">
        <v>379</v>
      </c>
    </row>
    <row r="11">
      <c r="A11" s="801" t="s">
        <v>39</v>
      </c>
      <c r="B11" s="802"/>
      <c r="C11" s="803"/>
      <c r="D11" s="804" t="s">
        <v>380</v>
      </c>
    </row>
    <row r="12">
      <c r="A12" s="805" t="s">
        <v>31</v>
      </c>
      <c r="B12" s="806"/>
      <c r="C12" s="807"/>
      <c r="D12" s="808" t="s">
        <v>373</v>
      </c>
    </row>
    <row r="13">
      <c r="A13" s="809" t="s">
        <v>178</v>
      </c>
      <c r="B13" s="810"/>
      <c r="C13" s="811"/>
      <c r="D13" s="812" t="s">
        <v>374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88"/>
    <col customWidth="1" min="3" max="3" width="15.25"/>
    <col customWidth="1" min="4" max="4" width="8.75"/>
  </cols>
  <sheetData>
    <row r="1">
      <c r="A1" s="793" t="s">
        <v>274</v>
      </c>
      <c r="B1" s="794" t="s">
        <v>370</v>
      </c>
      <c r="C1" s="795" t="s">
        <v>371</v>
      </c>
      <c r="D1" s="796" t="s">
        <v>372</v>
      </c>
    </row>
    <row r="2">
      <c r="A2" s="797" t="s">
        <v>42</v>
      </c>
      <c r="B2" s="798" t="s">
        <v>381</v>
      </c>
      <c r="C2" s="799"/>
      <c r="D2" s="800" t="s">
        <v>373</v>
      </c>
    </row>
    <row r="3">
      <c r="A3" s="801" t="s">
        <v>116</v>
      </c>
      <c r="B3" s="802" t="s">
        <v>382</v>
      </c>
      <c r="C3" s="803" t="s">
        <v>383</v>
      </c>
      <c r="D3" s="804" t="s">
        <v>374</v>
      </c>
    </row>
    <row r="4">
      <c r="A4" s="801" t="s">
        <v>36</v>
      </c>
      <c r="B4" s="802" t="s">
        <v>384</v>
      </c>
      <c r="C4" s="803" t="s">
        <v>385</v>
      </c>
      <c r="D4" s="804" t="s">
        <v>375</v>
      </c>
    </row>
    <row r="5">
      <c r="A5" s="801" t="s">
        <v>214</v>
      </c>
      <c r="B5" s="802" t="s">
        <v>386</v>
      </c>
      <c r="C5" s="803" t="s">
        <v>387</v>
      </c>
      <c r="D5" s="804" t="s">
        <v>376</v>
      </c>
    </row>
    <row r="6">
      <c r="A6" s="801" t="s">
        <v>46</v>
      </c>
      <c r="B6" s="802" t="s">
        <v>388</v>
      </c>
      <c r="C6" s="803" t="s">
        <v>389</v>
      </c>
      <c r="D6" s="804" t="s">
        <v>377</v>
      </c>
    </row>
    <row r="7">
      <c r="A7" s="801" t="s">
        <v>34</v>
      </c>
      <c r="B7" s="802" t="s">
        <v>390</v>
      </c>
      <c r="C7" s="803" t="s">
        <v>391</v>
      </c>
      <c r="D7" s="804" t="s">
        <v>373</v>
      </c>
    </row>
    <row r="8">
      <c r="A8" s="801" t="s">
        <v>37</v>
      </c>
      <c r="B8" s="802" t="s">
        <v>392</v>
      </c>
      <c r="C8" s="803" t="s">
        <v>393</v>
      </c>
      <c r="D8" s="804" t="s">
        <v>373</v>
      </c>
    </row>
    <row r="9">
      <c r="A9" s="801" t="s">
        <v>30</v>
      </c>
      <c r="B9" s="802" t="s">
        <v>394</v>
      </c>
      <c r="C9" s="803"/>
      <c r="D9" s="804" t="s">
        <v>378</v>
      </c>
    </row>
    <row r="10">
      <c r="A10" s="801" t="s">
        <v>38</v>
      </c>
      <c r="B10" s="802" t="s">
        <v>395</v>
      </c>
      <c r="C10" s="803" t="s">
        <v>396</v>
      </c>
      <c r="D10" s="804" t="s">
        <v>379</v>
      </c>
    </row>
    <row r="11">
      <c r="A11" s="801" t="s">
        <v>39</v>
      </c>
      <c r="B11" s="802" t="s">
        <v>397</v>
      </c>
      <c r="C11" s="803" t="s">
        <v>398</v>
      </c>
      <c r="D11" s="804" t="s">
        <v>380</v>
      </c>
    </row>
    <row r="12">
      <c r="A12" s="805" t="s">
        <v>31</v>
      </c>
      <c r="B12" s="806" t="s">
        <v>399</v>
      </c>
      <c r="C12" s="807" t="s">
        <v>400</v>
      </c>
      <c r="D12" s="808" t="s">
        <v>373</v>
      </c>
    </row>
    <row r="13">
      <c r="A13" s="809" t="s">
        <v>178</v>
      </c>
      <c r="B13" s="810" t="s">
        <v>401</v>
      </c>
      <c r="C13" s="811" t="s">
        <v>402</v>
      </c>
      <c r="D13" s="812" t="s">
        <v>374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88"/>
    <col customWidth="1" min="3" max="3" width="15.25"/>
    <col customWidth="1" min="4" max="4" width="8.75"/>
  </cols>
  <sheetData>
    <row r="1">
      <c r="A1" s="793" t="s">
        <v>274</v>
      </c>
      <c r="B1" s="794" t="s">
        <v>370</v>
      </c>
      <c r="C1" s="795" t="s">
        <v>371</v>
      </c>
      <c r="D1" s="796" t="s">
        <v>372</v>
      </c>
    </row>
    <row r="2">
      <c r="A2" s="797" t="s">
        <v>42</v>
      </c>
      <c r="B2" s="798" t="s">
        <v>403</v>
      </c>
      <c r="C2" s="799"/>
      <c r="D2" s="813" t="s">
        <v>373</v>
      </c>
    </row>
    <row r="3">
      <c r="A3" s="814" t="s">
        <v>43</v>
      </c>
      <c r="B3" s="802" t="s">
        <v>404</v>
      </c>
      <c r="C3" s="803" t="s">
        <v>405</v>
      </c>
      <c r="D3" s="815" t="s">
        <v>376</v>
      </c>
    </row>
    <row r="4">
      <c r="A4" s="814" t="s">
        <v>39</v>
      </c>
      <c r="B4" s="802" t="s">
        <v>397</v>
      </c>
      <c r="C4" s="803" t="s">
        <v>398</v>
      </c>
      <c r="D4" s="815" t="s">
        <v>380</v>
      </c>
    </row>
    <row r="5">
      <c r="A5" s="814" t="s">
        <v>37</v>
      </c>
      <c r="B5" s="802" t="s">
        <v>392</v>
      </c>
      <c r="C5" s="803" t="s">
        <v>393</v>
      </c>
      <c r="D5" s="815" t="s">
        <v>373</v>
      </c>
    </row>
    <row r="6">
      <c r="A6" s="814" t="s">
        <v>34</v>
      </c>
      <c r="B6" s="802" t="s">
        <v>390</v>
      </c>
      <c r="C6" s="803" t="s">
        <v>406</v>
      </c>
      <c r="D6" s="815" t="s">
        <v>373</v>
      </c>
    </row>
    <row r="7">
      <c r="A7" s="814" t="s">
        <v>35</v>
      </c>
      <c r="B7" s="802" t="s">
        <v>407</v>
      </c>
      <c r="C7" s="803" t="s">
        <v>387</v>
      </c>
      <c r="D7" s="815" t="s">
        <v>376</v>
      </c>
    </row>
    <row r="8">
      <c r="A8" s="814" t="s">
        <v>30</v>
      </c>
      <c r="B8" s="802" t="s">
        <v>394</v>
      </c>
      <c r="C8" s="803" t="s">
        <v>408</v>
      </c>
      <c r="D8" s="815" t="s">
        <v>378</v>
      </c>
    </row>
    <row r="9">
      <c r="A9" s="801" t="s">
        <v>409</v>
      </c>
      <c r="B9" s="802" t="s">
        <v>410</v>
      </c>
      <c r="C9" s="803" t="s">
        <v>411</v>
      </c>
      <c r="D9" s="804" t="s">
        <v>374</v>
      </c>
    </row>
    <row r="10">
      <c r="A10" s="814" t="s">
        <v>38</v>
      </c>
      <c r="B10" s="802" t="s">
        <v>412</v>
      </c>
      <c r="C10" s="803" t="s">
        <v>395</v>
      </c>
      <c r="D10" s="815" t="s">
        <v>379</v>
      </c>
    </row>
    <row r="11">
      <c r="A11" s="814" t="s">
        <v>116</v>
      </c>
      <c r="B11" s="802" t="s">
        <v>413</v>
      </c>
      <c r="C11" s="803" t="s">
        <v>414</v>
      </c>
      <c r="D11" s="815" t="s">
        <v>374</v>
      </c>
    </row>
    <row r="12">
      <c r="A12" s="816" t="s">
        <v>31</v>
      </c>
      <c r="B12" s="806" t="s">
        <v>399</v>
      </c>
      <c r="C12" s="807" t="s">
        <v>400</v>
      </c>
      <c r="D12" s="817" t="s">
        <v>373</v>
      </c>
    </row>
    <row r="13">
      <c r="A13" s="818" t="s">
        <v>36</v>
      </c>
      <c r="B13" s="810" t="s">
        <v>384</v>
      </c>
      <c r="C13" s="811" t="s">
        <v>385</v>
      </c>
      <c r="D13" s="819" t="s">
        <v>375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9.63"/>
    <col customWidth="1" min="2" max="2" width="15.25"/>
    <col customWidth="1" min="3" max="3" width="13.25"/>
    <col customWidth="1" min="4" max="4" width="8.75"/>
    <col customWidth="1" min="5" max="6" width="9.25"/>
    <col customWidth="1" min="7" max="26" width="11.0"/>
  </cols>
  <sheetData>
    <row r="1" ht="12.75" customHeight="1">
      <c r="A1" s="793" t="s">
        <v>274</v>
      </c>
      <c r="B1" s="794" t="s">
        <v>370</v>
      </c>
      <c r="C1" s="795" t="s">
        <v>371</v>
      </c>
      <c r="D1" s="796" t="s">
        <v>372</v>
      </c>
    </row>
    <row r="2" ht="12.75" customHeight="1">
      <c r="A2" s="801" t="s">
        <v>409</v>
      </c>
      <c r="B2" s="802" t="s">
        <v>411</v>
      </c>
      <c r="C2" s="803" t="s">
        <v>415</v>
      </c>
      <c r="D2" s="804" t="s">
        <v>374</v>
      </c>
    </row>
    <row r="3" ht="12.75" customHeight="1">
      <c r="A3" s="814" t="s">
        <v>116</v>
      </c>
      <c r="B3" s="802" t="s">
        <v>416</v>
      </c>
      <c r="C3" s="803" t="s">
        <v>417</v>
      </c>
      <c r="D3" s="815" t="s">
        <v>374</v>
      </c>
    </row>
    <row r="4" ht="12.75" customHeight="1">
      <c r="A4" s="814" t="s">
        <v>43</v>
      </c>
      <c r="B4" s="802" t="s">
        <v>404</v>
      </c>
      <c r="C4" s="820"/>
      <c r="D4" s="815" t="s">
        <v>376</v>
      </c>
    </row>
    <row r="5" ht="12.75" customHeight="1">
      <c r="A5" s="816" t="s">
        <v>42</v>
      </c>
      <c r="B5" s="806" t="s">
        <v>418</v>
      </c>
      <c r="C5" s="807" t="s">
        <v>398</v>
      </c>
      <c r="D5" s="817" t="s">
        <v>373</v>
      </c>
    </row>
    <row r="6" ht="12.75" customHeight="1">
      <c r="A6" s="814" t="s">
        <v>34</v>
      </c>
      <c r="B6" s="802" t="s">
        <v>390</v>
      </c>
      <c r="C6" s="803" t="s">
        <v>419</v>
      </c>
      <c r="D6" s="815" t="s">
        <v>373</v>
      </c>
    </row>
    <row r="7" ht="12.75" customHeight="1">
      <c r="A7" s="814" t="s">
        <v>36</v>
      </c>
      <c r="B7" s="802" t="s">
        <v>385</v>
      </c>
      <c r="C7" s="820"/>
      <c r="D7" s="815" t="s">
        <v>375</v>
      </c>
    </row>
    <row r="8" ht="12.75" customHeight="1">
      <c r="A8" s="814" t="s">
        <v>38</v>
      </c>
      <c r="B8" s="802" t="s">
        <v>403</v>
      </c>
      <c r="C8" s="803" t="s">
        <v>420</v>
      </c>
      <c r="D8" s="815" t="s">
        <v>379</v>
      </c>
    </row>
    <row r="9" ht="12.75" customHeight="1">
      <c r="A9" s="816" t="s">
        <v>31</v>
      </c>
      <c r="B9" s="806" t="s">
        <v>400</v>
      </c>
      <c r="C9" s="807" t="s">
        <v>421</v>
      </c>
      <c r="D9" s="817" t="s">
        <v>373</v>
      </c>
    </row>
    <row r="10" ht="12.75" customHeight="1">
      <c r="A10" s="814" t="s">
        <v>30</v>
      </c>
      <c r="B10" s="802" t="s">
        <v>408</v>
      </c>
      <c r="C10" s="803" t="s">
        <v>422</v>
      </c>
      <c r="D10" s="815" t="s">
        <v>378</v>
      </c>
    </row>
    <row r="11" ht="12.75" customHeight="1">
      <c r="A11" s="814" t="s">
        <v>35</v>
      </c>
      <c r="B11" s="802" t="s">
        <v>423</v>
      </c>
      <c r="C11" s="803" t="s">
        <v>387</v>
      </c>
      <c r="D11" s="815" t="s">
        <v>376</v>
      </c>
    </row>
    <row r="12" ht="12.75" customHeight="1">
      <c r="A12" s="814" t="s">
        <v>39</v>
      </c>
      <c r="B12" s="802" t="s">
        <v>424</v>
      </c>
      <c r="C12" s="803" t="s">
        <v>397</v>
      </c>
      <c r="D12" s="815" t="s">
        <v>380</v>
      </c>
    </row>
    <row r="13" ht="12.75" customHeight="1">
      <c r="A13" s="818" t="s">
        <v>37</v>
      </c>
      <c r="B13" s="810" t="s">
        <v>392</v>
      </c>
      <c r="C13" s="811" t="s">
        <v>393</v>
      </c>
      <c r="D13" s="819" t="s">
        <v>373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9.63"/>
    <col customWidth="1" min="2" max="2" width="15.25"/>
    <col customWidth="1" min="3" max="3" width="13.25"/>
    <col customWidth="1" min="4" max="4" width="8.75"/>
    <col customWidth="1" min="5" max="6" width="10.0"/>
    <col customWidth="1" min="7" max="26" width="11.0"/>
  </cols>
  <sheetData>
    <row r="1" ht="12.75" customHeight="1">
      <c r="A1" s="793" t="s">
        <v>274</v>
      </c>
      <c r="B1" s="794" t="s">
        <v>370</v>
      </c>
      <c r="C1" s="795" t="s">
        <v>371</v>
      </c>
      <c r="D1" s="796" t="s">
        <v>372</v>
      </c>
    </row>
    <row r="2" ht="12.75" customHeight="1">
      <c r="A2" s="814" t="s">
        <v>248</v>
      </c>
      <c r="B2" s="821" t="s">
        <v>425</v>
      </c>
      <c r="C2" s="820" t="s">
        <v>411</v>
      </c>
      <c r="D2" s="815" t="s">
        <v>376</v>
      </c>
    </row>
    <row r="3" ht="12.75" customHeight="1">
      <c r="A3" s="814" t="s">
        <v>42</v>
      </c>
      <c r="B3" s="821" t="s">
        <v>426</v>
      </c>
      <c r="C3" s="820"/>
      <c r="D3" s="815" t="s">
        <v>373</v>
      </c>
    </row>
    <row r="4" ht="12.75" customHeight="1">
      <c r="A4" s="814" t="s">
        <v>37</v>
      </c>
      <c r="B4" s="821" t="s">
        <v>427</v>
      </c>
      <c r="C4" s="820" t="s">
        <v>428</v>
      </c>
      <c r="D4" s="815" t="s">
        <v>373</v>
      </c>
    </row>
    <row r="5" ht="12.75" customHeight="1">
      <c r="A5" s="816" t="s">
        <v>214</v>
      </c>
      <c r="B5" s="822" t="s">
        <v>423</v>
      </c>
      <c r="C5" s="823" t="s">
        <v>429</v>
      </c>
      <c r="D5" s="817" t="s">
        <v>376</v>
      </c>
    </row>
    <row r="6" ht="12.75" customHeight="1">
      <c r="A6" s="814" t="s">
        <v>31</v>
      </c>
      <c r="B6" s="821" t="s">
        <v>400</v>
      </c>
      <c r="C6" s="820"/>
      <c r="D6" s="815" t="s">
        <v>373</v>
      </c>
    </row>
    <row r="7" ht="12.75" customHeight="1">
      <c r="A7" s="814" t="s">
        <v>33</v>
      </c>
      <c r="B7" s="821" t="s">
        <v>430</v>
      </c>
      <c r="C7" s="820" t="s">
        <v>431</v>
      </c>
      <c r="D7" s="815" t="s">
        <v>374</v>
      </c>
    </row>
    <row r="8" ht="12.75" customHeight="1">
      <c r="A8" s="816" t="s">
        <v>36</v>
      </c>
      <c r="B8" s="822" t="s">
        <v>386</v>
      </c>
      <c r="C8" s="823" t="s">
        <v>432</v>
      </c>
      <c r="D8" s="817" t="s">
        <v>375</v>
      </c>
    </row>
    <row r="9" ht="12.75" customHeight="1">
      <c r="A9" s="814" t="s">
        <v>34</v>
      </c>
      <c r="B9" s="821" t="s">
        <v>390</v>
      </c>
      <c r="C9" s="820" t="s">
        <v>433</v>
      </c>
      <c r="D9" s="815" t="s">
        <v>373</v>
      </c>
    </row>
    <row r="10" ht="12.75" customHeight="1">
      <c r="A10" s="814" t="s">
        <v>39</v>
      </c>
      <c r="B10" s="821" t="s">
        <v>434</v>
      </c>
      <c r="C10" s="820" t="s">
        <v>397</v>
      </c>
      <c r="D10" s="815" t="s">
        <v>380</v>
      </c>
    </row>
    <row r="11" ht="12.75" customHeight="1">
      <c r="A11" s="814" t="s">
        <v>43</v>
      </c>
      <c r="B11" s="821" t="s">
        <v>404</v>
      </c>
      <c r="C11" s="820" t="s">
        <v>435</v>
      </c>
      <c r="D11" s="815" t="s">
        <v>376</v>
      </c>
    </row>
    <row r="12" ht="12.75" customHeight="1">
      <c r="A12" s="814" t="s">
        <v>38</v>
      </c>
      <c r="B12" s="821" t="s">
        <v>403</v>
      </c>
      <c r="C12" s="820" t="s">
        <v>436</v>
      </c>
      <c r="D12" s="815" t="s">
        <v>379</v>
      </c>
    </row>
    <row r="13" ht="12.75" customHeight="1">
      <c r="A13" s="818" t="s">
        <v>30</v>
      </c>
      <c r="B13" s="824" t="s">
        <v>408</v>
      </c>
      <c r="C13" s="825" t="s">
        <v>422</v>
      </c>
      <c r="D13" s="819" t="s">
        <v>378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9.63"/>
    <col customWidth="1" min="2" max="2" width="15.25"/>
    <col customWidth="1" min="3" max="3" width="13.25"/>
    <col customWidth="1" min="4" max="4" width="8.75"/>
    <col customWidth="1" min="5" max="6" width="7.75"/>
    <col customWidth="1" min="7" max="26" width="11.0"/>
  </cols>
  <sheetData>
    <row r="1" ht="12.75" customHeight="1">
      <c r="A1" s="793" t="s">
        <v>274</v>
      </c>
      <c r="B1" s="794" t="s">
        <v>370</v>
      </c>
      <c r="C1" s="795" t="s">
        <v>371</v>
      </c>
      <c r="D1" s="796" t="s">
        <v>372</v>
      </c>
    </row>
    <row r="2" ht="12.75" customHeight="1">
      <c r="A2" s="797" t="s">
        <v>214</v>
      </c>
      <c r="B2" s="826" t="s">
        <v>437</v>
      </c>
      <c r="C2" s="827" t="s">
        <v>429</v>
      </c>
      <c r="D2" s="813" t="s">
        <v>376</v>
      </c>
    </row>
    <row r="3" ht="12.75" customHeight="1">
      <c r="A3" s="814" t="s">
        <v>42</v>
      </c>
      <c r="B3" s="821" t="s">
        <v>438</v>
      </c>
      <c r="C3" s="820" t="s">
        <v>439</v>
      </c>
      <c r="D3" s="815" t="s">
        <v>373</v>
      </c>
    </row>
    <row r="4" ht="12.75" customHeight="1">
      <c r="A4" s="814" t="s">
        <v>43</v>
      </c>
      <c r="B4" s="821" t="s">
        <v>404</v>
      </c>
      <c r="C4" s="820"/>
      <c r="D4" s="815" t="s">
        <v>376</v>
      </c>
    </row>
    <row r="5" ht="12.75" customHeight="1">
      <c r="A5" s="814" t="s">
        <v>37</v>
      </c>
      <c r="B5" s="821" t="s">
        <v>440</v>
      </c>
      <c r="C5" s="820" t="s">
        <v>428</v>
      </c>
      <c r="D5" s="815" t="s">
        <v>373</v>
      </c>
    </row>
    <row r="6" ht="12.75" customHeight="1">
      <c r="A6" s="814" t="s">
        <v>262</v>
      </c>
      <c r="B6" s="821" t="s">
        <v>441</v>
      </c>
      <c r="C6" s="820" t="s">
        <v>393</v>
      </c>
      <c r="D6" s="815" t="s">
        <v>442</v>
      </c>
    </row>
    <row r="7" ht="12.75" customHeight="1">
      <c r="A7" s="814" t="s">
        <v>31</v>
      </c>
      <c r="B7" s="821" t="s">
        <v>443</v>
      </c>
      <c r="C7" s="820"/>
      <c r="D7" s="815" t="s">
        <v>373</v>
      </c>
    </row>
    <row r="8" ht="12.75" customHeight="1">
      <c r="A8" s="814" t="s">
        <v>33</v>
      </c>
      <c r="B8" s="821" t="s">
        <v>444</v>
      </c>
      <c r="C8" s="820" t="s">
        <v>445</v>
      </c>
      <c r="D8" s="815" t="s">
        <v>374</v>
      </c>
    </row>
    <row r="9" ht="12.75" customHeight="1">
      <c r="A9" s="814" t="s">
        <v>34</v>
      </c>
      <c r="B9" s="821" t="s">
        <v>390</v>
      </c>
      <c r="C9" s="820" t="s">
        <v>446</v>
      </c>
      <c r="D9" s="815" t="s">
        <v>373</v>
      </c>
    </row>
    <row r="10" ht="12.75" customHeight="1">
      <c r="A10" s="816" t="s">
        <v>36</v>
      </c>
      <c r="B10" s="822" t="s">
        <v>447</v>
      </c>
      <c r="C10" s="823" t="s">
        <v>448</v>
      </c>
      <c r="D10" s="817" t="s">
        <v>375</v>
      </c>
    </row>
    <row r="11" ht="12.75" customHeight="1">
      <c r="A11" s="814" t="s">
        <v>39</v>
      </c>
      <c r="B11" s="821" t="s">
        <v>424</v>
      </c>
      <c r="C11" s="820" t="s">
        <v>449</v>
      </c>
      <c r="D11" s="815" t="s">
        <v>380</v>
      </c>
    </row>
    <row r="12" ht="12.75" customHeight="1">
      <c r="A12" s="814" t="s">
        <v>38</v>
      </c>
      <c r="B12" s="821" t="s">
        <v>405</v>
      </c>
      <c r="C12" s="820" t="s">
        <v>403</v>
      </c>
      <c r="D12" s="815" t="s">
        <v>379</v>
      </c>
    </row>
    <row r="13" ht="12.75" customHeight="1">
      <c r="A13" s="818" t="s">
        <v>30</v>
      </c>
      <c r="B13" s="824" t="s">
        <v>450</v>
      </c>
      <c r="C13" s="825" t="s">
        <v>408</v>
      </c>
      <c r="D13" s="819" t="s">
        <v>378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9.63"/>
    <col customWidth="1" min="2" max="2" width="15.25"/>
    <col customWidth="1" min="3" max="3" width="13.25"/>
    <col customWidth="1" min="4" max="4" width="8.75"/>
    <col customWidth="1" min="5" max="6" width="7.0"/>
    <col customWidth="1" min="7" max="26" width="11.0"/>
  </cols>
  <sheetData>
    <row r="1" ht="13.5" customHeight="1">
      <c r="A1" s="793" t="s">
        <v>274</v>
      </c>
      <c r="B1" s="794" t="s">
        <v>370</v>
      </c>
      <c r="C1" s="795" t="s">
        <v>371</v>
      </c>
      <c r="D1" s="796" t="s">
        <v>372</v>
      </c>
    </row>
    <row r="2" ht="12.75" customHeight="1">
      <c r="A2" s="797" t="s">
        <v>116</v>
      </c>
      <c r="B2" s="826" t="s">
        <v>439</v>
      </c>
      <c r="C2" s="827" t="s">
        <v>451</v>
      </c>
      <c r="D2" s="813" t="s">
        <v>374</v>
      </c>
    </row>
    <row r="3" ht="12.75" customHeight="1">
      <c r="A3" s="814" t="s">
        <v>36</v>
      </c>
      <c r="B3" s="821" t="s">
        <v>447</v>
      </c>
      <c r="C3" s="820" t="s">
        <v>431</v>
      </c>
      <c r="D3" s="815" t="s">
        <v>375</v>
      </c>
    </row>
    <row r="4" ht="12.75" customHeight="1">
      <c r="A4" s="814" t="s">
        <v>38</v>
      </c>
      <c r="B4" s="821" t="s">
        <v>452</v>
      </c>
      <c r="C4" s="820" t="s">
        <v>453</v>
      </c>
      <c r="D4" s="815" t="s">
        <v>379</v>
      </c>
    </row>
    <row r="5" ht="12.75" customHeight="1">
      <c r="A5" s="814" t="s">
        <v>47</v>
      </c>
      <c r="B5" s="821" t="s">
        <v>386</v>
      </c>
      <c r="C5" s="820" t="s">
        <v>454</v>
      </c>
      <c r="D5" s="815" t="s">
        <v>442</v>
      </c>
    </row>
    <row r="6" ht="12.75" customHeight="1">
      <c r="A6" s="814" t="s">
        <v>35</v>
      </c>
      <c r="B6" s="821" t="s">
        <v>455</v>
      </c>
      <c r="C6" s="820" t="s">
        <v>437</v>
      </c>
      <c r="D6" s="815" t="s">
        <v>376</v>
      </c>
    </row>
    <row r="7" ht="12.75" customHeight="1">
      <c r="A7" s="814" t="s">
        <v>37</v>
      </c>
      <c r="B7" s="821" t="s">
        <v>456</v>
      </c>
      <c r="C7" s="820" t="s">
        <v>457</v>
      </c>
      <c r="D7" s="815" t="s">
        <v>373</v>
      </c>
    </row>
    <row r="8" ht="12.75" customHeight="1">
      <c r="A8" s="814" t="s">
        <v>34</v>
      </c>
      <c r="B8" s="821" t="s">
        <v>390</v>
      </c>
      <c r="C8" s="820" t="s">
        <v>433</v>
      </c>
      <c r="D8" s="815" t="s">
        <v>373</v>
      </c>
    </row>
    <row r="9" ht="12.75" customHeight="1">
      <c r="A9" s="814" t="s">
        <v>30</v>
      </c>
      <c r="B9" s="821" t="s">
        <v>450</v>
      </c>
      <c r="C9" s="820"/>
      <c r="D9" s="815" t="s">
        <v>378</v>
      </c>
    </row>
    <row r="10" ht="12.75" customHeight="1">
      <c r="A10" s="816" t="s">
        <v>31</v>
      </c>
      <c r="B10" s="822" t="s">
        <v>458</v>
      </c>
      <c r="C10" s="823" t="s">
        <v>443</v>
      </c>
      <c r="D10" s="817" t="s">
        <v>373</v>
      </c>
    </row>
    <row r="11" ht="12.75" customHeight="1">
      <c r="A11" s="814" t="s">
        <v>43</v>
      </c>
      <c r="B11" s="821" t="s">
        <v>404</v>
      </c>
      <c r="C11" s="820" t="s">
        <v>459</v>
      </c>
      <c r="D11" s="815" t="s">
        <v>376</v>
      </c>
    </row>
    <row r="12" ht="12.75" customHeight="1">
      <c r="A12" s="814" t="s">
        <v>42</v>
      </c>
      <c r="B12" s="821" t="s">
        <v>423</v>
      </c>
      <c r="C12" s="820" t="s">
        <v>460</v>
      </c>
      <c r="D12" s="815" t="s">
        <v>373</v>
      </c>
    </row>
    <row r="13" ht="13.5" customHeight="1">
      <c r="A13" s="818" t="s">
        <v>39</v>
      </c>
      <c r="B13" s="824" t="s">
        <v>424</v>
      </c>
      <c r="C13" s="825" t="s">
        <v>461</v>
      </c>
      <c r="D13" s="819" t="s">
        <v>380</v>
      </c>
    </row>
    <row r="14" ht="12.75" customHeight="1">
      <c r="A14" s="364"/>
      <c r="B14" s="364"/>
      <c r="C14" s="364"/>
      <c r="D14" s="364"/>
    </row>
    <row r="15" ht="12.75" customHeight="1">
      <c r="A15" s="364"/>
      <c r="B15" s="364"/>
      <c r="C15" s="364"/>
      <c r="D15" s="364"/>
    </row>
    <row r="16" ht="12.75" customHeight="1">
      <c r="A16" s="364"/>
      <c r="B16" s="364"/>
      <c r="C16" s="364"/>
      <c r="D16" s="364"/>
    </row>
    <row r="17" ht="12.75" customHeight="1">
      <c r="A17" s="364"/>
      <c r="B17" s="364"/>
      <c r="C17" s="364"/>
      <c r="D17" s="364"/>
    </row>
    <row r="18" ht="12.75" customHeight="1">
      <c r="A18" s="364"/>
      <c r="B18" s="364"/>
      <c r="C18" s="364"/>
      <c r="D18" s="364"/>
    </row>
    <row r="19" ht="12.75" customHeight="1">
      <c r="A19" s="364"/>
      <c r="B19" s="364"/>
      <c r="C19" s="364"/>
      <c r="D19" s="364"/>
    </row>
    <row r="20" ht="12.75" customHeight="1">
      <c r="A20" s="364"/>
      <c r="B20" s="364"/>
      <c r="C20" s="364"/>
      <c r="D20" s="364"/>
    </row>
    <row r="21" ht="12.75" customHeight="1">
      <c r="A21" s="364"/>
      <c r="B21" s="364"/>
      <c r="C21" s="364"/>
      <c r="D21" s="364"/>
    </row>
    <row r="22" ht="12.75" customHeight="1">
      <c r="A22" s="364"/>
      <c r="B22" s="364"/>
      <c r="C22" s="364"/>
      <c r="D22" s="364"/>
    </row>
    <row r="23" ht="12.75" customHeight="1">
      <c r="A23" s="364"/>
      <c r="B23" s="364"/>
      <c r="C23" s="364"/>
      <c r="D23" s="364"/>
    </row>
    <row r="24" ht="12.75" customHeight="1">
      <c r="A24" s="364"/>
      <c r="B24" s="364"/>
      <c r="C24" s="364"/>
      <c r="D24" s="364"/>
    </row>
    <row r="25" ht="12.75" customHeight="1">
      <c r="A25" s="364"/>
      <c r="B25" s="364"/>
      <c r="C25" s="364"/>
      <c r="D25" s="364"/>
    </row>
    <row r="26" ht="12.75" customHeight="1">
      <c r="A26" s="364"/>
      <c r="B26" s="364"/>
      <c r="C26" s="364"/>
      <c r="D26" s="364"/>
    </row>
    <row r="27" ht="12.75" customHeight="1">
      <c r="A27" s="364"/>
      <c r="B27" s="364"/>
      <c r="C27" s="364"/>
      <c r="D27" s="364"/>
    </row>
    <row r="28" ht="12.75" customHeight="1">
      <c r="A28" s="364"/>
      <c r="B28" s="364"/>
      <c r="C28" s="364"/>
      <c r="D28" s="364"/>
    </row>
    <row r="29" ht="12.75" customHeight="1">
      <c r="A29" s="364"/>
      <c r="B29" s="364"/>
      <c r="C29" s="364"/>
      <c r="D29" s="364"/>
    </row>
    <row r="30" ht="12.75" customHeight="1">
      <c r="A30" s="364"/>
      <c r="B30" s="364"/>
      <c r="C30" s="364"/>
      <c r="D30" s="364"/>
    </row>
    <row r="31" ht="12.75" customHeight="1">
      <c r="A31" s="364"/>
      <c r="B31" s="364"/>
      <c r="C31" s="364"/>
      <c r="D31" s="364"/>
    </row>
    <row r="32" ht="12.75" customHeight="1">
      <c r="A32" s="364"/>
      <c r="B32" s="364"/>
      <c r="C32" s="364"/>
      <c r="D32" s="364"/>
    </row>
    <row r="33" ht="12.75" customHeight="1">
      <c r="A33" s="364"/>
      <c r="B33" s="364"/>
      <c r="C33" s="364"/>
      <c r="D33" s="364"/>
    </row>
    <row r="34" ht="12.75" customHeight="1">
      <c r="A34" s="364"/>
      <c r="B34" s="364"/>
      <c r="C34" s="364"/>
      <c r="D34" s="364"/>
    </row>
    <row r="35" ht="12.75" customHeight="1">
      <c r="A35" s="364"/>
      <c r="B35" s="364"/>
      <c r="C35" s="364"/>
      <c r="D35" s="364"/>
    </row>
    <row r="36" ht="12.75" customHeight="1">
      <c r="A36" s="364"/>
      <c r="B36" s="364"/>
      <c r="C36" s="364"/>
      <c r="D36" s="364"/>
    </row>
    <row r="37" ht="12.75" customHeight="1">
      <c r="A37" s="364"/>
      <c r="B37" s="364"/>
      <c r="C37" s="364"/>
      <c r="D37" s="364"/>
    </row>
    <row r="38" ht="12.75" customHeight="1">
      <c r="A38" s="364"/>
      <c r="B38" s="364"/>
      <c r="C38" s="364"/>
      <c r="D38" s="364"/>
    </row>
    <row r="39" ht="12.75" customHeight="1">
      <c r="A39" s="364"/>
      <c r="B39" s="364"/>
      <c r="C39" s="364"/>
      <c r="D39" s="364"/>
    </row>
    <row r="40" ht="12.75" customHeight="1">
      <c r="A40" s="364"/>
      <c r="B40" s="364"/>
      <c r="C40" s="364"/>
      <c r="D40" s="364"/>
    </row>
    <row r="41" ht="12.75" customHeight="1">
      <c r="A41" s="364"/>
      <c r="B41" s="364"/>
      <c r="C41" s="364"/>
      <c r="D41" s="364"/>
    </row>
    <row r="42" ht="12.75" customHeight="1">
      <c r="A42" s="364"/>
      <c r="B42" s="364"/>
      <c r="C42" s="364"/>
      <c r="D42" s="364"/>
    </row>
    <row r="43" ht="12.75" customHeight="1">
      <c r="A43" s="364"/>
      <c r="B43" s="364"/>
      <c r="C43" s="364"/>
      <c r="D43" s="364"/>
    </row>
    <row r="44" ht="12.75" customHeight="1">
      <c r="A44" s="364"/>
      <c r="B44" s="364"/>
      <c r="C44" s="364"/>
      <c r="D44" s="364"/>
    </row>
    <row r="45" ht="12.75" customHeight="1">
      <c r="A45" s="364"/>
      <c r="B45" s="364"/>
      <c r="C45" s="364"/>
      <c r="D45" s="364"/>
    </row>
    <row r="46" ht="12.75" customHeight="1">
      <c r="A46" s="364"/>
      <c r="B46" s="364"/>
      <c r="C46" s="364"/>
      <c r="D46" s="364"/>
    </row>
    <row r="47" ht="12.75" customHeight="1">
      <c r="A47" s="364"/>
      <c r="B47" s="364"/>
      <c r="C47" s="364"/>
      <c r="D47" s="364"/>
    </row>
    <row r="48" ht="12.75" customHeight="1">
      <c r="A48" s="364"/>
      <c r="B48" s="364"/>
      <c r="C48" s="364"/>
      <c r="D48" s="364"/>
    </row>
    <row r="49" ht="12.75" customHeight="1">
      <c r="A49" s="364"/>
      <c r="B49" s="364"/>
      <c r="C49" s="364"/>
      <c r="D49" s="364"/>
    </row>
    <row r="50" ht="12.75" customHeight="1">
      <c r="A50" s="364"/>
      <c r="B50" s="364"/>
      <c r="C50" s="364"/>
      <c r="D50" s="364"/>
    </row>
    <row r="51" ht="12.75" customHeight="1">
      <c r="A51" s="364"/>
      <c r="B51" s="364"/>
      <c r="C51" s="364"/>
      <c r="D51" s="364"/>
    </row>
    <row r="52" ht="12.75" customHeight="1">
      <c r="A52" s="364"/>
      <c r="B52" s="364"/>
      <c r="C52" s="364"/>
      <c r="D52" s="364"/>
    </row>
    <row r="53" ht="12.75" customHeight="1">
      <c r="A53" s="364"/>
      <c r="B53" s="364"/>
      <c r="C53" s="364"/>
      <c r="D53" s="364"/>
    </row>
    <row r="54" ht="12.75" customHeight="1">
      <c r="A54" s="364"/>
      <c r="B54" s="364"/>
      <c r="C54" s="364"/>
      <c r="D54" s="364"/>
    </row>
    <row r="55" ht="12.75" customHeight="1">
      <c r="A55" s="364"/>
      <c r="B55" s="364"/>
      <c r="C55" s="364"/>
      <c r="D55" s="364"/>
    </row>
    <row r="56" ht="12.75" customHeight="1">
      <c r="A56" s="364"/>
      <c r="B56" s="364"/>
      <c r="C56" s="364"/>
      <c r="D56" s="364"/>
    </row>
    <row r="57" ht="12.75" customHeight="1">
      <c r="A57" s="364"/>
      <c r="B57" s="364"/>
      <c r="C57" s="364"/>
      <c r="D57" s="364"/>
    </row>
    <row r="58" ht="12.75" customHeight="1">
      <c r="A58" s="364"/>
      <c r="B58" s="364"/>
      <c r="C58" s="364"/>
      <c r="D58" s="364"/>
    </row>
    <row r="59" ht="12.75" customHeight="1">
      <c r="A59" s="364"/>
      <c r="B59" s="364"/>
      <c r="C59" s="364"/>
      <c r="D59" s="364"/>
    </row>
    <row r="60" ht="12.75" customHeight="1">
      <c r="A60" s="364"/>
      <c r="B60" s="364"/>
      <c r="C60" s="364"/>
      <c r="D60" s="364"/>
    </row>
    <row r="61" ht="12.75" customHeight="1">
      <c r="A61" s="364"/>
      <c r="B61" s="364"/>
      <c r="C61" s="364"/>
      <c r="D61" s="364"/>
    </row>
    <row r="62" ht="12.75" customHeight="1">
      <c r="A62" s="364"/>
      <c r="B62" s="364"/>
      <c r="C62" s="364"/>
      <c r="D62" s="364"/>
    </row>
    <row r="63" ht="12.75" customHeight="1">
      <c r="A63" s="364"/>
      <c r="B63" s="364"/>
      <c r="C63" s="364"/>
      <c r="D63" s="364"/>
    </row>
    <row r="64" ht="12.75" customHeight="1">
      <c r="A64" s="364"/>
      <c r="B64" s="364"/>
      <c r="C64" s="364"/>
      <c r="D64" s="364"/>
    </row>
    <row r="65" ht="12.75" customHeight="1">
      <c r="A65" s="364"/>
      <c r="B65" s="364"/>
      <c r="C65" s="364"/>
      <c r="D65" s="364"/>
    </row>
    <row r="66" ht="12.75" customHeight="1">
      <c r="A66" s="364"/>
      <c r="B66" s="364"/>
      <c r="C66" s="364"/>
      <c r="D66" s="364"/>
    </row>
    <row r="67" ht="12.75" customHeight="1">
      <c r="A67" s="364"/>
      <c r="B67" s="364"/>
      <c r="C67" s="364"/>
      <c r="D67" s="364"/>
    </row>
    <row r="68" ht="12.75" customHeight="1">
      <c r="A68" s="364"/>
      <c r="B68" s="364"/>
      <c r="C68" s="364"/>
      <c r="D68" s="364"/>
    </row>
    <row r="69" ht="12.75" customHeight="1">
      <c r="A69" s="364"/>
      <c r="B69" s="364"/>
      <c r="C69" s="364"/>
      <c r="D69" s="364"/>
    </row>
    <row r="70" ht="12.75" customHeight="1">
      <c r="A70" s="364"/>
      <c r="B70" s="364"/>
      <c r="C70" s="364"/>
      <c r="D70" s="364"/>
    </row>
    <row r="71" ht="12.75" customHeight="1">
      <c r="A71" s="364"/>
      <c r="B71" s="364"/>
      <c r="C71" s="364"/>
      <c r="D71" s="364"/>
    </row>
    <row r="72" ht="12.75" customHeight="1">
      <c r="A72" s="364"/>
      <c r="B72" s="364"/>
      <c r="C72" s="364"/>
      <c r="D72" s="364"/>
    </row>
    <row r="73" ht="12.75" customHeight="1">
      <c r="A73" s="364"/>
      <c r="B73" s="364"/>
      <c r="C73" s="364"/>
      <c r="D73" s="364"/>
    </row>
    <row r="74" ht="12.75" customHeight="1">
      <c r="A74" s="364"/>
      <c r="B74" s="364"/>
      <c r="C74" s="364"/>
      <c r="D74" s="364"/>
    </row>
    <row r="75" ht="12.75" customHeight="1">
      <c r="A75" s="364"/>
      <c r="B75" s="364"/>
      <c r="C75" s="364"/>
      <c r="D75" s="364"/>
    </row>
    <row r="76" ht="12.75" customHeight="1">
      <c r="A76" s="364"/>
      <c r="B76" s="364"/>
      <c r="C76" s="364"/>
      <c r="D76" s="364"/>
    </row>
    <row r="77" ht="12.75" customHeight="1">
      <c r="A77" s="364"/>
      <c r="B77" s="364"/>
      <c r="C77" s="364"/>
      <c r="D77" s="364"/>
    </row>
    <row r="78" ht="12.75" customHeight="1">
      <c r="A78" s="364"/>
      <c r="B78" s="364"/>
      <c r="C78" s="364"/>
      <c r="D78" s="364"/>
    </row>
    <row r="79" ht="12.75" customHeight="1">
      <c r="A79" s="364"/>
      <c r="B79" s="364"/>
      <c r="C79" s="364"/>
      <c r="D79" s="364"/>
    </row>
    <row r="80" ht="12.75" customHeight="1">
      <c r="A80" s="364"/>
      <c r="B80" s="364"/>
      <c r="C80" s="364"/>
      <c r="D80" s="364"/>
    </row>
    <row r="81" ht="12.75" customHeight="1">
      <c r="A81" s="364"/>
      <c r="B81" s="364"/>
      <c r="C81" s="364"/>
      <c r="D81" s="364"/>
    </row>
    <row r="82" ht="12.75" customHeight="1">
      <c r="A82" s="364"/>
      <c r="B82" s="364"/>
      <c r="C82" s="364"/>
      <c r="D82" s="364"/>
    </row>
    <row r="83" ht="12.75" customHeight="1">
      <c r="A83" s="364"/>
      <c r="B83" s="364"/>
      <c r="C83" s="364"/>
      <c r="D83" s="364"/>
    </row>
    <row r="84" ht="12.75" customHeight="1">
      <c r="A84" s="364"/>
      <c r="B84" s="364"/>
      <c r="C84" s="364"/>
      <c r="D84" s="364"/>
    </row>
    <row r="85" ht="12.75" customHeight="1">
      <c r="A85" s="364"/>
      <c r="B85" s="364"/>
      <c r="C85" s="364"/>
      <c r="D85" s="364"/>
    </row>
    <row r="86" ht="12.75" customHeight="1">
      <c r="A86" s="364"/>
      <c r="B86" s="364"/>
      <c r="C86" s="364"/>
      <c r="D86" s="364"/>
    </row>
    <row r="87" ht="12.75" customHeight="1">
      <c r="A87" s="364"/>
      <c r="B87" s="364"/>
      <c r="C87" s="364"/>
      <c r="D87" s="364"/>
    </row>
    <row r="88" ht="12.75" customHeight="1">
      <c r="A88" s="364"/>
      <c r="B88" s="364"/>
      <c r="C88" s="364"/>
      <c r="D88" s="364"/>
    </row>
    <row r="89" ht="12.75" customHeight="1">
      <c r="A89" s="364"/>
      <c r="B89" s="364"/>
      <c r="C89" s="364"/>
      <c r="D89" s="364"/>
    </row>
    <row r="90" ht="12.75" customHeight="1">
      <c r="A90" s="364"/>
      <c r="B90" s="364"/>
      <c r="C90" s="364"/>
      <c r="D90" s="364"/>
    </row>
    <row r="91" ht="12.75" customHeight="1">
      <c r="A91" s="364"/>
      <c r="B91" s="364"/>
      <c r="C91" s="364"/>
      <c r="D91" s="364"/>
    </row>
    <row r="92" ht="12.75" customHeight="1">
      <c r="A92" s="364"/>
      <c r="B92" s="364"/>
      <c r="C92" s="364"/>
      <c r="D92" s="364"/>
    </row>
    <row r="93" ht="12.75" customHeight="1">
      <c r="A93" s="364"/>
      <c r="B93" s="364"/>
      <c r="C93" s="364"/>
      <c r="D93" s="364"/>
    </row>
    <row r="94" ht="12.75" customHeight="1">
      <c r="A94" s="364"/>
      <c r="B94" s="364"/>
      <c r="C94" s="364"/>
      <c r="D94" s="364"/>
    </row>
    <row r="95" ht="12.75" customHeight="1">
      <c r="A95" s="364"/>
      <c r="B95" s="364"/>
      <c r="C95" s="364"/>
      <c r="D95" s="364"/>
    </row>
    <row r="96" ht="12.75" customHeight="1">
      <c r="A96" s="364"/>
      <c r="B96" s="364"/>
      <c r="C96" s="364"/>
      <c r="D96" s="364"/>
    </row>
    <row r="97" ht="12.75" customHeight="1">
      <c r="A97" s="364"/>
      <c r="B97" s="364"/>
      <c r="C97" s="364"/>
      <c r="D97" s="364"/>
    </row>
    <row r="98" ht="12.75" customHeight="1">
      <c r="A98" s="364"/>
      <c r="B98" s="364"/>
      <c r="C98" s="364"/>
      <c r="D98" s="364"/>
    </row>
    <row r="99" ht="12.75" customHeight="1">
      <c r="A99" s="364"/>
      <c r="B99" s="364"/>
      <c r="C99" s="364"/>
      <c r="D99" s="364"/>
    </row>
    <row r="100" ht="12.75" customHeight="1">
      <c r="A100" s="364"/>
      <c r="B100" s="364"/>
      <c r="C100" s="364"/>
      <c r="D100" s="364"/>
    </row>
    <row r="101" ht="12.75" customHeight="1">
      <c r="A101" s="364"/>
      <c r="B101" s="364"/>
      <c r="C101" s="364"/>
      <c r="D101" s="364"/>
    </row>
    <row r="102" ht="12.75" customHeight="1">
      <c r="A102" s="364"/>
      <c r="B102" s="364"/>
      <c r="C102" s="364"/>
      <c r="D102" s="364"/>
    </row>
    <row r="103" ht="12.75" customHeight="1">
      <c r="A103" s="364"/>
      <c r="B103" s="364"/>
      <c r="C103" s="364"/>
      <c r="D103" s="364"/>
    </row>
    <row r="104" ht="12.75" customHeight="1">
      <c r="A104" s="364"/>
      <c r="B104" s="364"/>
      <c r="C104" s="364"/>
      <c r="D104" s="364"/>
    </row>
    <row r="105" ht="12.75" customHeight="1">
      <c r="A105" s="364"/>
      <c r="B105" s="364"/>
      <c r="C105" s="364"/>
      <c r="D105" s="364"/>
    </row>
    <row r="106" ht="12.75" customHeight="1">
      <c r="A106" s="364"/>
      <c r="B106" s="364"/>
      <c r="C106" s="364"/>
      <c r="D106" s="364"/>
    </row>
    <row r="107" ht="12.75" customHeight="1">
      <c r="A107" s="364"/>
      <c r="B107" s="364"/>
      <c r="C107" s="364"/>
      <c r="D107" s="364"/>
    </row>
    <row r="108" ht="12.75" customHeight="1">
      <c r="A108" s="364"/>
      <c r="B108" s="364"/>
      <c r="C108" s="364"/>
      <c r="D108" s="364"/>
    </row>
    <row r="109" ht="12.75" customHeight="1">
      <c r="A109" s="364"/>
      <c r="B109" s="364"/>
      <c r="C109" s="364"/>
      <c r="D109" s="364"/>
    </row>
    <row r="110" ht="12.75" customHeight="1">
      <c r="A110" s="364"/>
      <c r="B110" s="364"/>
      <c r="C110" s="364"/>
      <c r="D110" s="364"/>
    </row>
    <row r="111" ht="12.75" customHeight="1">
      <c r="A111" s="364"/>
      <c r="B111" s="364"/>
      <c r="C111" s="364"/>
      <c r="D111" s="364"/>
    </row>
    <row r="112" ht="12.75" customHeight="1">
      <c r="A112" s="364"/>
      <c r="B112" s="364"/>
      <c r="C112" s="364"/>
      <c r="D112" s="364"/>
    </row>
    <row r="113" ht="12.75" customHeight="1">
      <c r="A113" s="364"/>
      <c r="B113" s="364"/>
      <c r="C113" s="364"/>
      <c r="D113" s="364"/>
    </row>
    <row r="114" ht="12.75" customHeight="1">
      <c r="A114" s="364"/>
      <c r="B114" s="364"/>
      <c r="C114" s="364"/>
      <c r="D114" s="364"/>
    </row>
    <row r="115" ht="12.75" customHeight="1">
      <c r="A115" s="364"/>
      <c r="B115" s="364"/>
      <c r="C115" s="364"/>
      <c r="D115" s="364"/>
    </row>
    <row r="116" ht="12.75" customHeight="1">
      <c r="A116" s="364"/>
      <c r="B116" s="364"/>
      <c r="C116" s="364"/>
      <c r="D116" s="364"/>
    </row>
    <row r="117" ht="12.75" customHeight="1">
      <c r="A117" s="364"/>
      <c r="B117" s="364"/>
      <c r="C117" s="364"/>
      <c r="D117" s="364"/>
    </row>
    <row r="118" ht="12.75" customHeight="1">
      <c r="A118" s="364"/>
      <c r="B118" s="364"/>
      <c r="C118" s="364"/>
      <c r="D118" s="364"/>
    </row>
    <row r="119" ht="12.75" customHeight="1">
      <c r="A119" s="364"/>
      <c r="B119" s="364"/>
      <c r="C119" s="364"/>
      <c r="D119" s="364"/>
    </row>
    <row r="120" ht="12.75" customHeight="1">
      <c r="A120" s="364"/>
      <c r="B120" s="364"/>
      <c r="C120" s="364"/>
      <c r="D120" s="364"/>
    </row>
    <row r="121" ht="12.75" customHeight="1">
      <c r="A121" s="364"/>
      <c r="B121" s="364"/>
      <c r="C121" s="364"/>
      <c r="D121" s="364"/>
    </row>
    <row r="122" ht="12.75" customHeight="1">
      <c r="A122" s="364"/>
      <c r="B122" s="364"/>
      <c r="C122" s="364"/>
      <c r="D122" s="364"/>
    </row>
    <row r="123" ht="12.75" customHeight="1">
      <c r="A123" s="364"/>
      <c r="B123" s="364"/>
      <c r="C123" s="364"/>
      <c r="D123" s="364"/>
    </row>
    <row r="124" ht="12.75" customHeight="1">
      <c r="A124" s="364"/>
      <c r="B124" s="364"/>
      <c r="C124" s="364"/>
      <c r="D124" s="364"/>
    </row>
    <row r="125" ht="12.75" customHeight="1">
      <c r="A125" s="364"/>
      <c r="B125" s="364"/>
      <c r="C125" s="364"/>
      <c r="D125" s="364"/>
    </row>
    <row r="126" ht="12.75" customHeight="1">
      <c r="A126" s="364"/>
      <c r="B126" s="364"/>
      <c r="C126" s="364"/>
      <c r="D126" s="364"/>
    </row>
    <row r="127" ht="12.75" customHeight="1">
      <c r="A127" s="364"/>
      <c r="B127" s="364"/>
      <c r="C127" s="364"/>
      <c r="D127" s="364"/>
    </row>
    <row r="128" ht="12.75" customHeight="1">
      <c r="A128" s="364"/>
      <c r="B128" s="364"/>
      <c r="C128" s="364"/>
      <c r="D128" s="364"/>
    </row>
    <row r="129" ht="12.75" customHeight="1">
      <c r="A129" s="364"/>
      <c r="B129" s="364"/>
      <c r="C129" s="364"/>
      <c r="D129" s="364"/>
    </row>
    <row r="130" ht="12.75" customHeight="1">
      <c r="A130" s="364"/>
      <c r="B130" s="364"/>
      <c r="C130" s="364"/>
      <c r="D130" s="364"/>
    </row>
    <row r="131" ht="12.75" customHeight="1">
      <c r="A131" s="364"/>
      <c r="B131" s="364"/>
      <c r="C131" s="364"/>
      <c r="D131" s="364"/>
    </row>
    <row r="132" ht="12.75" customHeight="1">
      <c r="A132" s="364"/>
      <c r="B132" s="364"/>
      <c r="C132" s="364"/>
      <c r="D132" s="364"/>
    </row>
    <row r="133" ht="12.75" customHeight="1">
      <c r="A133" s="364"/>
      <c r="B133" s="364"/>
      <c r="C133" s="364"/>
      <c r="D133" s="364"/>
    </row>
    <row r="134" ht="12.75" customHeight="1">
      <c r="A134" s="364"/>
      <c r="B134" s="364"/>
      <c r="C134" s="364"/>
      <c r="D134" s="364"/>
    </row>
    <row r="135" ht="12.75" customHeight="1">
      <c r="A135" s="364"/>
      <c r="B135" s="364"/>
      <c r="C135" s="364"/>
      <c r="D135" s="364"/>
    </row>
    <row r="136" ht="12.75" customHeight="1">
      <c r="A136" s="364"/>
      <c r="B136" s="364"/>
      <c r="C136" s="364"/>
      <c r="D136" s="364"/>
    </row>
    <row r="137" ht="12.75" customHeight="1">
      <c r="A137" s="364"/>
      <c r="B137" s="364"/>
      <c r="C137" s="364"/>
      <c r="D137" s="364"/>
    </row>
    <row r="138" ht="12.75" customHeight="1">
      <c r="A138" s="364"/>
      <c r="B138" s="364"/>
      <c r="C138" s="364"/>
      <c r="D138" s="364"/>
    </row>
    <row r="139" ht="12.75" customHeight="1">
      <c r="A139" s="364"/>
      <c r="B139" s="364"/>
      <c r="C139" s="364"/>
      <c r="D139" s="364"/>
    </row>
    <row r="140" ht="12.75" customHeight="1">
      <c r="A140" s="364"/>
      <c r="B140" s="364"/>
      <c r="C140" s="364"/>
      <c r="D140" s="364"/>
    </row>
    <row r="141" ht="12.75" customHeight="1">
      <c r="A141" s="364"/>
      <c r="B141" s="364"/>
      <c r="C141" s="364"/>
      <c r="D141" s="364"/>
    </row>
    <row r="142" ht="12.75" customHeight="1">
      <c r="A142" s="364"/>
      <c r="B142" s="364"/>
      <c r="C142" s="364"/>
      <c r="D142" s="364"/>
    </row>
    <row r="143" ht="12.75" customHeight="1">
      <c r="A143" s="364"/>
      <c r="B143" s="364"/>
      <c r="C143" s="364"/>
      <c r="D143" s="364"/>
    </row>
    <row r="144" ht="12.75" customHeight="1">
      <c r="A144" s="364"/>
      <c r="B144" s="364"/>
      <c r="C144" s="364"/>
      <c r="D144" s="364"/>
    </row>
    <row r="145" ht="12.75" customHeight="1">
      <c r="A145" s="364"/>
      <c r="B145" s="364"/>
      <c r="C145" s="364"/>
      <c r="D145" s="364"/>
    </row>
    <row r="146" ht="12.75" customHeight="1">
      <c r="A146" s="364"/>
      <c r="B146" s="364"/>
      <c r="C146" s="364"/>
      <c r="D146" s="364"/>
    </row>
    <row r="147" ht="12.75" customHeight="1">
      <c r="A147" s="364"/>
      <c r="B147" s="364"/>
      <c r="C147" s="364"/>
      <c r="D147" s="364"/>
    </row>
    <row r="148" ht="12.75" customHeight="1">
      <c r="A148" s="364"/>
      <c r="B148" s="364"/>
      <c r="C148" s="364"/>
      <c r="D148" s="364"/>
    </row>
    <row r="149" ht="12.75" customHeight="1">
      <c r="A149" s="364"/>
      <c r="B149" s="364"/>
      <c r="C149" s="364"/>
      <c r="D149" s="364"/>
    </row>
    <row r="150" ht="12.75" customHeight="1">
      <c r="A150" s="364"/>
      <c r="B150" s="364"/>
      <c r="C150" s="364"/>
      <c r="D150" s="364"/>
    </row>
    <row r="151" ht="12.75" customHeight="1">
      <c r="A151" s="364"/>
      <c r="B151" s="364"/>
      <c r="C151" s="364"/>
      <c r="D151" s="364"/>
    </row>
    <row r="152" ht="12.75" customHeight="1">
      <c r="A152" s="364"/>
      <c r="B152" s="364"/>
      <c r="C152" s="364"/>
      <c r="D152" s="364"/>
    </row>
    <row r="153" ht="12.75" customHeight="1">
      <c r="A153" s="364"/>
      <c r="B153" s="364"/>
      <c r="C153" s="364"/>
      <c r="D153" s="364"/>
    </row>
    <row r="154" ht="12.75" customHeight="1">
      <c r="A154" s="364"/>
      <c r="B154" s="364"/>
      <c r="C154" s="364"/>
      <c r="D154" s="364"/>
    </row>
    <row r="155" ht="12.75" customHeight="1">
      <c r="A155" s="364"/>
      <c r="B155" s="364"/>
      <c r="C155" s="364"/>
      <c r="D155" s="364"/>
    </row>
    <row r="156" ht="12.75" customHeight="1">
      <c r="A156" s="364"/>
      <c r="B156" s="364"/>
      <c r="C156" s="364"/>
      <c r="D156" s="364"/>
    </row>
    <row r="157" ht="12.75" customHeight="1">
      <c r="A157" s="364"/>
      <c r="B157" s="364"/>
      <c r="C157" s="364"/>
      <c r="D157" s="364"/>
    </row>
    <row r="158" ht="12.75" customHeight="1">
      <c r="A158" s="364"/>
      <c r="B158" s="364"/>
      <c r="C158" s="364"/>
      <c r="D158" s="364"/>
    </row>
    <row r="159" ht="12.75" customHeight="1">
      <c r="A159" s="364"/>
      <c r="B159" s="364"/>
      <c r="C159" s="364"/>
      <c r="D159" s="364"/>
    </row>
    <row r="160" ht="12.75" customHeight="1">
      <c r="A160" s="364"/>
      <c r="B160" s="364"/>
      <c r="C160" s="364"/>
      <c r="D160" s="364"/>
    </row>
    <row r="161" ht="12.75" customHeight="1">
      <c r="A161" s="364"/>
      <c r="B161" s="364"/>
      <c r="C161" s="364"/>
      <c r="D161" s="364"/>
    </row>
    <row r="162" ht="12.75" customHeight="1">
      <c r="A162" s="364"/>
      <c r="B162" s="364"/>
      <c r="C162" s="364"/>
      <c r="D162" s="364"/>
    </row>
    <row r="163" ht="12.75" customHeight="1">
      <c r="A163" s="364"/>
      <c r="B163" s="364"/>
      <c r="C163" s="364"/>
      <c r="D163" s="364"/>
    </row>
    <row r="164" ht="12.75" customHeight="1">
      <c r="A164" s="364"/>
      <c r="B164" s="364"/>
      <c r="C164" s="364"/>
      <c r="D164" s="364"/>
    </row>
    <row r="165" ht="12.75" customHeight="1">
      <c r="A165" s="364"/>
      <c r="B165" s="364"/>
      <c r="C165" s="364"/>
      <c r="D165" s="364"/>
    </row>
    <row r="166" ht="12.75" customHeight="1">
      <c r="A166" s="364"/>
      <c r="B166" s="364"/>
      <c r="C166" s="364"/>
      <c r="D166" s="364"/>
    </row>
    <row r="167" ht="12.75" customHeight="1">
      <c r="A167" s="364"/>
      <c r="B167" s="364"/>
      <c r="C167" s="364"/>
      <c r="D167" s="364"/>
    </row>
    <row r="168" ht="12.75" customHeight="1">
      <c r="A168" s="364"/>
      <c r="B168" s="364"/>
      <c r="C168" s="364"/>
      <c r="D168" s="364"/>
    </row>
    <row r="169" ht="12.75" customHeight="1">
      <c r="A169" s="364"/>
      <c r="B169" s="364"/>
      <c r="C169" s="364"/>
      <c r="D169" s="364"/>
    </row>
    <row r="170" ht="12.75" customHeight="1">
      <c r="A170" s="364"/>
      <c r="B170" s="364"/>
      <c r="C170" s="364"/>
      <c r="D170" s="364"/>
    </row>
    <row r="171" ht="12.75" customHeight="1">
      <c r="A171" s="364"/>
      <c r="B171" s="364"/>
      <c r="C171" s="364"/>
      <c r="D171" s="364"/>
    </row>
    <row r="172" ht="12.75" customHeight="1">
      <c r="A172" s="364"/>
      <c r="B172" s="364"/>
      <c r="C172" s="364"/>
      <c r="D172" s="364"/>
    </row>
    <row r="173" ht="12.75" customHeight="1">
      <c r="A173" s="364"/>
      <c r="B173" s="364"/>
      <c r="C173" s="364"/>
      <c r="D173" s="364"/>
    </row>
    <row r="174" ht="12.75" customHeight="1">
      <c r="A174" s="364"/>
      <c r="B174" s="364"/>
      <c r="C174" s="364"/>
      <c r="D174" s="364"/>
    </row>
    <row r="175" ht="12.75" customHeight="1">
      <c r="A175" s="364"/>
      <c r="B175" s="364"/>
      <c r="C175" s="364"/>
      <c r="D175" s="364"/>
    </row>
    <row r="176" ht="12.75" customHeight="1">
      <c r="A176" s="364"/>
      <c r="B176" s="364"/>
      <c r="C176" s="364"/>
      <c r="D176" s="364"/>
    </row>
    <row r="177" ht="12.75" customHeight="1">
      <c r="A177" s="364"/>
      <c r="B177" s="364"/>
      <c r="C177" s="364"/>
      <c r="D177" s="364"/>
    </row>
    <row r="178" ht="12.75" customHeight="1">
      <c r="A178" s="364"/>
      <c r="B178" s="364"/>
      <c r="C178" s="364"/>
      <c r="D178" s="364"/>
    </row>
    <row r="179" ht="12.75" customHeight="1">
      <c r="A179" s="364"/>
      <c r="B179" s="364"/>
      <c r="C179" s="364"/>
      <c r="D179" s="364"/>
    </row>
    <row r="180" ht="12.75" customHeight="1">
      <c r="A180" s="364"/>
      <c r="B180" s="364"/>
      <c r="C180" s="364"/>
      <c r="D180" s="364"/>
    </row>
    <row r="181" ht="12.75" customHeight="1">
      <c r="A181" s="364"/>
      <c r="B181" s="364"/>
      <c r="C181" s="364"/>
      <c r="D181" s="364"/>
    </row>
    <row r="182" ht="12.75" customHeight="1">
      <c r="A182" s="364"/>
      <c r="B182" s="364"/>
      <c r="C182" s="364"/>
      <c r="D182" s="364"/>
    </row>
    <row r="183" ht="12.75" customHeight="1">
      <c r="A183" s="364"/>
      <c r="B183" s="364"/>
      <c r="C183" s="364"/>
      <c r="D183" s="364"/>
    </row>
    <row r="184" ht="12.75" customHeight="1">
      <c r="A184" s="364"/>
      <c r="B184" s="364"/>
      <c r="C184" s="364"/>
      <c r="D184" s="364"/>
    </row>
    <row r="185" ht="12.75" customHeight="1">
      <c r="A185" s="364"/>
      <c r="B185" s="364"/>
      <c r="C185" s="364"/>
      <c r="D185" s="364"/>
    </row>
    <row r="186" ht="12.75" customHeight="1">
      <c r="A186" s="364"/>
      <c r="B186" s="364"/>
      <c r="C186" s="364"/>
      <c r="D186" s="364"/>
    </row>
    <row r="187" ht="12.75" customHeight="1">
      <c r="A187" s="364"/>
      <c r="B187" s="364"/>
      <c r="C187" s="364"/>
      <c r="D187" s="364"/>
    </row>
    <row r="188" ht="12.75" customHeight="1">
      <c r="A188" s="364"/>
      <c r="B188" s="364"/>
      <c r="C188" s="364"/>
      <c r="D188" s="364"/>
    </row>
    <row r="189" ht="12.75" customHeight="1">
      <c r="A189" s="364"/>
      <c r="B189" s="364"/>
      <c r="C189" s="364"/>
      <c r="D189" s="364"/>
    </row>
    <row r="190" ht="12.75" customHeight="1">
      <c r="A190" s="364"/>
      <c r="B190" s="364"/>
      <c r="C190" s="364"/>
      <c r="D190" s="364"/>
    </row>
    <row r="191" ht="12.75" customHeight="1">
      <c r="A191" s="364"/>
      <c r="B191" s="364"/>
      <c r="C191" s="364"/>
      <c r="D191" s="364"/>
    </row>
    <row r="192" ht="12.75" customHeight="1">
      <c r="A192" s="364"/>
      <c r="B192" s="364"/>
      <c r="C192" s="364"/>
      <c r="D192" s="364"/>
    </row>
    <row r="193" ht="12.75" customHeight="1">
      <c r="A193" s="364"/>
      <c r="B193" s="364"/>
      <c r="C193" s="364"/>
      <c r="D193" s="364"/>
    </row>
    <row r="194" ht="12.75" customHeight="1">
      <c r="A194" s="364"/>
      <c r="B194" s="364"/>
      <c r="C194" s="364"/>
      <c r="D194" s="364"/>
    </row>
    <row r="195" ht="12.75" customHeight="1">
      <c r="A195" s="364"/>
      <c r="B195" s="364"/>
      <c r="C195" s="364"/>
      <c r="D195" s="364"/>
    </row>
    <row r="196" ht="12.75" customHeight="1">
      <c r="A196" s="364"/>
      <c r="B196" s="364"/>
      <c r="C196" s="364"/>
      <c r="D196" s="364"/>
    </row>
    <row r="197" ht="12.75" customHeight="1">
      <c r="A197" s="364"/>
      <c r="B197" s="364"/>
      <c r="C197" s="364"/>
      <c r="D197" s="364"/>
    </row>
    <row r="198" ht="12.75" customHeight="1">
      <c r="A198" s="364"/>
      <c r="B198" s="364"/>
      <c r="C198" s="364"/>
      <c r="D198" s="364"/>
    </row>
    <row r="199" ht="12.75" customHeight="1">
      <c r="A199" s="364"/>
      <c r="B199" s="364"/>
      <c r="C199" s="364"/>
      <c r="D199" s="364"/>
    </row>
    <row r="200" ht="12.75" customHeight="1">
      <c r="A200" s="364"/>
      <c r="B200" s="364"/>
      <c r="C200" s="364"/>
      <c r="D200" s="364"/>
    </row>
    <row r="201" ht="12.75" customHeight="1">
      <c r="A201" s="364"/>
      <c r="B201" s="364"/>
      <c r="C201" s="364"/>
      <c r="D201" s="364"/>
    </row>
    <row r="202" ht="12.75" customHeight="1">
      <c r="A202" s="364"/>
      <c r="B202" s="364"/>
      <c r="C202" s="364"/>
      <c r="D202" s="364"/>
    </row>
    <row r="203" ht="12.75" customHeight="1">
      <c r="A203" s="364"/>
      <c r="B203" s="364"/>
      <c r="C203" s="364"/>
      <c r="D203" s="364"/>
    </row>
    <row r="204" ht="12.75" customHeight="1">
      <c r="A204" s="364"/>
      <c r="B204" s="364"/>
      <c r="C204" s="364"/>
      <c r="D204" s="364"/>
    </row>
    <row r="205" ht="12.75" customHeight="1">
      <c r="A205" s="364"/>
      <c r="B205" s="364"/>
      <c r="C205" s="364"/>
      <c r="D205" s="364"/>
    </row>
    <row r="206" ht="12.75" customHeight="1">
      <c r="A206" s="364"/>
      <c r="B206" s="364"/>
      <c r="C206" s="364"/>
      <c r="D206" s="364"/>
    </row>
    <row r="207" ht="12.75" customHeight="1">
      <c r="A207" s="364"/>
      <c r="B207" s="364"/>
      <c r="C207" s="364"/>
      <c r="D207" s="364"/>
    </row>
    <row r="208" ht="12.75" customHeight="1">
      <c r="A208" s="364"/>
      <c r="B208" s="364"/>
      <c r="C208" s="364"/>
      <c r="D208" s="364"/>
    </row>
    <row r="209" ht="12.75" customHeight="1">
      <c r="A209" s="364"/>
      <c r="B209" s="364"/>
      <c r="C209" s="364"/>
      <c r="D209" s="364"/>
    </row>
    <row r="210" ht="12.75" customHeight="1">
      <c r="A210" s="364"/>
      <c r="B210" s="364"/>
      <c r="C210" s="364"/>
      <c r="D210" s="364"/>
    </row>
    <row r="211" ht="12.75" customHeight="1">
      <c r="A211" s="364"/>
      <c r="B211" s="364"/>
      <c r="C211" s="364"/>
      <c r="D211" s="364"/>
    </row>
    <row r="212" ht="12.75" customHeight="1">
      <c r="A212" s="364"/>
      <c r="B212" s="364"/>
      <c r="C212" s="364"/>
      <c r="D212" s="364"/>
    </row>
    <row r="213" ht="12.75" customHeight="1">
      <c r="A213" s="364"/>
      <c r="B213" s="364"/>
      <c r="C213" s="364"/>
      <c r="D213" s="364"/>
    </row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9.63"/>
    <col customWidth="1" min="2" max="2" width="13.5"/>
    <col customWidth="1" min="3" max="3" width="13.25"/>
    <col customWidth="1" min="4" max="4" width="8.75"/>
    <col customWidth="1" min="5" max="6" width="7.0"/>
    <col customWidth="1" min="7" max="26" width="11.0"/>
  </cols>
  <sheetData>
    <row r="1" ht="13.5" customHeight="1">
      <c r="A1" s="793" t="s">
        <v>274</v>
      </c>
      <c r="B1" s="794" t="s">
        <v>370</v>
      </c>
      <c r="C1" s="795" t="s">
        <v>371</v>
      </c>
      <c r="D1" s="796" t="s">
        <v>372</v>
      </c>
    </row>
    <row r="2" ht="12.75" customHeight="1">
      <c r="A2" s="797" t="s">
        <v>116</v>
      </c>
      <c r="B2" s="826" t="s">
        <v>462</v>
      </c>
      <c r="C2" s="827" t="s">
        <v>463</v>
      </c>
      <c r="D2" s="813" t="s">
        <v>374</v>
      </c>
    </row>
    <row r="3" ht="12.75" customHeight="1">
      <c r="A3" s="814" t="s">
        <v>34</v>
      </c>
      <c r="B3" s="821" t="s">
        <v>390</v>
      </c>
      <c r="C3" s="820" t="s">
        <v>464</v>
      </c>
      <c r="D3" s="815" t="s">
        <v>373</v>
      </c>
    </row>
    <row r="4" ht="12.75" customHeight="1">
      <c r="A4" s="814" t="s">
        <v>39</v>
      </c>
      <c r="B4" s="821" t="s">
        <v>465</v>
      </c>
      <c r="C4" s="820" t="s">
        <v>461</v>
      </c>
      <c r="D4" s="815" t="s">
        <v>380</v>
      </c>
    </row>
    <row r="5" ht="12.75" customHeight="1">
      <c r="A5" s="814" t="s">
        <v>43</v>
      </c>
      <c r="B5" s="821" t="s">
        <v>404</v>
      </c>
      <c r="C5" s="820"/>
      <c r="D5" s="815" t="s">
        <v>466</v>
      </c>
    </row>
    <row r="6" ht="12.75" customHeight="1">
      <c r="A6" s="814" t="s">
        <v>38</v>
      </c>
      <c r="B6" s="821"/>
      <c r="C6" s="820"/>
      <c r="D6" s="815" t="s">
        <v>379</v>
      </c>
    </row>
    <row r="7" ht="12.75" customHeight="1">
      <c r="A7" s="814" t="s">
        <v>30</v>
      </c>
      <c r="B7" s="821" t="s">
        <v>419</v>
      </c>
      <c r="C7" s="820"/>
      <c r="D7" s="815" t="s">
        <v>378</v>
      </c>
    </row>
    <row r="8" ht="12.75" customHeight="1">
      <c r="A8" s="814" t="s">
        <v>42</v>
      </c>
      <c r="B8" s="821" t="s">
        <v>437</v>
      </c>
      <c r="C8" s="820" t="s">
        <v>423</v>
      </c>
      <c r="D8" s="815" t="s">
        <v>373</v>
      </c>
    </row>
    <row r="9" ht="12.75" customHeight="1">
      <c r="A9" s="814" t="s">
        <v>47</v>
      </c>
      <c r="B9" s="821" t="s">
        <v>386</v>
      </c>
      <c r="C9" s="820"/>
      <c r="D9" s="815" t="s">
        <v>442</v>
      </c>
    </row>
    <row r="10" ht="12.75" customHeight="1">
      <c r="A10" s="816" t="s">
        <v>35</v>
      </c>
      <c r="B10" s="822" t="s">
        <v>467</v>
      </c>
      <c r="C10" s="823" t="s">
        <v>468</v>
      </c>
      <c r="D10" s="817" t="s">
        <v>466</v>
      </c>
    </row>
    <row r="11" ht="12.75" customHeight="1">
      <c r="A11" s="814" t="s">
        <v>36</v>
      </c>
      <c r="B11" s="821" t="s">
        <v>447</v>
      </c>
      <c r="C11" s="820" t="s">
        <v>469</v>
      </c>
      <c r="D11" s="815" t="s">
        <v>375</v>
      </c>
    </row>
    <row r="12" ht="12.75" customHeight="1">
      <c r="A12" s="814" t="s">
        <v>31</v>
      </c>
      <c r="B12" s="821" t="s">
        <v>458</v>
      </c>
      <c r="C12" s="820" t="s">
        <v>443</v>
      </c>
      <c r="D12" s="815" t="s">
        <v>373</v>
      </c>
    </row>
    <row r="13" ht="13.5" customHeight="1">
      <c r="A13" s="818" t="s">
        <v>37</v>
      </c>
      <c r="B13" s="824" t="s">
        <v>456</v>
      </c>
      <c r="C13" s="825" t="s">
        <v>440</v>
      </c>
      <c r="D13" s="819" t="s">
        <v>373</v>
      </c>
    </row>
    <row r="14" ht="12.75" customHeight="1">
      <c r="A14" s="364"/>
      <c r="B14" s="364"/>
      <c r="C14" s="364"/>
      <c r="D14" s="364"/>
    </row>
    <row r="15" ht="12.75" customHeight="1">
      <c r="A15" s="364"/>
      <c r="B15" s="364"/>
      <c r="C15" s="364"/>
      <c r="D15" s="364"/>
    </row>
    <row r="16" ht="12.75" customHeight="1">
      <c r="A16" s="364"/>
      <c r="B16" s="364"/>
      <c r="C16" s="364"/>
      <c r="D16" s="364"/>
    </row>
    <row r="17" ht="12.75" customHeight="1">
      <c r="A17" s="364"/>
      <c r="B17" s="364"/>
      <c r="C17" s="364"/>
      <c r="D17" s="364"/>
    </row>
    <row r="18" ht="12.75" customHeight="1">
      <c r="A18" s="364"/>
      <c r="B18" s="364"/>
      <c r="C18" s="364"/>
      <c r="D18" s="364"/>
    </row>
    <row r="19" ht="12.75" customHeight="1">
      <c r="A19" s="364"/>
      <c r="B19" s="364"/>
      <c r="C19" s="364"/>
      <c r="D19" s="364"/>
    </row>
    <row r="20" ht="12.75" customHeight="1">
      <c r="A20" s="364"/>
      <c r="B20" s="364"/>
      <c r="C20" s="364"/>
      <c r="D20" s="364"/>
    </row>
    <row r="21" ht="12.75" customHeight="1">
      <c r="A21" s="364"/>
      <c r="B21" s="364"/>
      <c r="C21" s="364"/>
      <c r="D21" s="364"/>
    </row>
    <row r="22" ht="12.75" customHeight="1">
      <c r="A22" s="364"/>
      <c r="B22" s="364"/>
      <c r="C22" s="364"/>
      <c r="D22" s="364"/>
    </row>
    <row r="23" ht="12.75" customHeight="1">
      <c r="A23" s="364"/>
      <c r="B23" s="364"/>
      <c r="C23" s="364"/>
      <c r="D23" s="364"/>
    </row>
    <row r="24" ht="12.75" customHeight="1">
      <c r="A24" s="364"/>
      <c r="B24" s="364"/>
      <c r="C24" s="364"/>
      <c r="D24" s="364"/>
    </row>
    <row r="25" ht="12.75" customHeight="1">
      <c r="A25" s="364"/>
      <c r="B25" s="364"/>
      <c r="C25" s="364"/>
      <c r="D25" s="364"/>
    </row>
    <row r="26" ht="12.75" customHeight="1">
      <c r="A26" s="364"/>
      <c r="B26" s="364"/>
      <c r="C26" s="364"/>
      <c r="D26" s="364"/>
    </row>
    <row r="27" ht="12.75" customHeight="1">
      <c r="A27" s="364"/>
      <c r="B27" s="364"/>
      <c r="C27" s="364"/>
      <c r="D27" s="364"/>
    </row>
    <row r="28" ht="12.75" customHeight="1">
      <c r="A28" s="364"/>
      <c r="B28" s="364"/>
      <c r="C28" s="364"/>
      <c r="D28" s="364"/>
    </row>
    <row r="29" ht="12.75" customHeight="1">
      <c r="A29" s="364"/>
      <c r="B29" s="364"/>
      <c r="C29" s="364"/>
      <c r="D29" s="364"/>
    </row>
    <row r="30" ht="12.75" customHeight="1">
      <c r="A30" s="364"/>
      <c r="B30" s="364"/>
      <c r="C30" s="364"/>
      <c r="D30" s="364"/>
    </row>
    <row r="31" ht="12.75" customHeight="1">
      <c r="A31" s="364"/>
      <c r="B31" s="364"/>
      <c r="C31" s="364"/>
      <c r="D31" s="364"/>
    </row>
    <row r="32" ht="12.75" customHeight="1">
      <c r="A32" s="364"/>
      <c r="B32" s="364"/>
      <c r="C32" s="364"/>
      <c r="D32" s="364"/>
    </row>
    <row r="33" ht="12.75" customHeight="1">
      <c r="A33" s="364"/>
      <c r="B33" s="364"/>
      <c r="C33" s="364"/>
      <c r="D33" s="364"/>
    </row>
    <row r="34" ht="12.75" customHeight="1">
      <c r="A34" s="364"/>
      <c r="B34" s="364"/>
      <c r="C34" s="364"/>
      <c r="D34" s="364"/>
    </row>
    <row r="35" ht="12.75" customHeight="1">
      <c r="A35" s="364"/>
      <c r="B35" s="364"/>
      <c r="C35" s="364"/>
      <c r="D35" s="364"/>
    </row>
    <row r="36" ht="12.75" customHeight="1">
      <c r="A36" s="364"/>
      <c r="B36" s="364"/>
      <c r="C36" s="364"/>
      <c r="D36" s="364"/>
    </row>
    <row r="37" ht="12.75" customHeight="1">
      <c r="A37" s="364"/>
      <c r="B37" s="364"/>
      <c r="C37" s="364"/>
      <c r="D37" s="364"/>
    </row>
    <row r="38" ht="12.75" customHeight="1">
      <c r="A38" s="364"/>
      <c r="B38" s="364"/>
      <c r="C38" s="364"/>
      <c r="D38" s="364"/>
    </row>
    <row r="39" ht="12.75" customHeight="1">
      <c r="A39" s="364"/>
      <c r="B39" s="364"/>
      <c r="C39" s="364"/>
      <c r="D39" s="364"/>
    </row>
    <row r="40" ht="12.75" customHeight="1">
      <c r="A40" s="364"/>
      <c r="B40" s="364"/>
      <c r="C40" s="364"/>
      <c r="D40" s="364"/>
    </row>
    <row r="41" ht="12.75" customHeight="1">
      <c r="A41" s="364"/>
      <c r="B41" s="364"/>
      <c r="C41" s="364"/>
      <c r="D41" s="364"/>
    </row>
    <row r="42" ht="12.75" customHeight="1">
      <c r="A42" s="364"/>
      <c r="B42" s="364"/>
      <c r="C42" s="364"/>
      <c r="D42" s="364"/>
    </row>
    <row r="43" ht="12.75" customHeight="1">
      <c r="A43" s="364"/>
      <c r="B43" s="364"/>
      <c r="C43" s="364"/>
      <c r="D43" s="364"/>
    </row>
    <row r="44" ht="12.75" customHeight="1">
      <c r="A44" s="364"/>
      <c r="B44" s="364"/>
      <c r="C44" s="364"/>
      <c r="D44" s="364"/>
    </row>
    <row r="45" ht="12.75" customHeight="1">
      <c r="A45" s="364"/>
      <c r="B45" s="364"/>
      <c r="C45" s="364"/>
      <c r="D45" s="364"/>
    </row>
    <row r="46" ht="12.75" customHeight="1">
      <c r="A46" s="364"/>
      <c r="B46" s="364"/>
      <c r="C46" s="364"/>
      <c r="D46" s="364"/>
    </row>
    <row r="47" ht="12.75" customHeight="1">
      <c r="A47" s="364"/>
      <c r="B47" s="364"/>
      <c r="C47" s="364"/>
      <c r="D47" s="364"/>
    </row>
    <row r="48" ht="12.75" customHeight="1">
      <c r="A48" s="364"/>
      <c r="B48" s="364"/>
      <c r="C48" s="364"/>
      <c r="D48" s="364"/>
    </row>
    <row r="49" ht="12.75" customHeight="1">
      <c r="A49" s="364"/>
      <c r="B49" s="364"/>
      <c r="C49" s="364"/>
      <c r="D49" s="364"/>
    </row>
    <row r="50" ht="12.75" customHeight="1">
      <c r="A50" s="364"/>
      <c r="B50" s="364"/>
      <c r="C50" s="364"/>
      <c r="D50" s="364"/>
    </row>
    <row r="51" ht="12.75" customHeight="1">
      <c r="A51" s="364"/>
      <c r="B51" s="364"/>
      <c r="C51" s="364"/>
      <c r="D51" s="364"/>
    </row>
    <row r="52" ht="12.75" customHeight="1">
      <c r="A52" s="364"/>
      <c r="B52" s="364"/>
      <c r="C52" s="364"/>
      <c r="D52" s="364"/>
    </row>
    <row r="53" ht="12.75" customHeight="1">
      <c r="A53" s="364"/>
      <c r="B53" s="364"/>
      <c r="C53" s="364"/>
      <c r="D53" s="364"/>
    </row>
    <row r="54" ht="12.75" customHeight="1">
      <c r="A54" s="364"/>
      <c r="B54" s="364"/>
      <c r="C54" s="364"/>
      <c r="D54" s="364"/>
    </row>
    <row r="55" ht="12.75" customHeight="1">
      <c r="A55" s="364"/>
      <c r="B55" s="364"/>
      <c r="C55" s="364"/>
      <c r="D55" s="364"/>
    </row>
    <row r="56" ht="12.75" customHeight="1">
      <c r="A56" s="364"/>
      <c r="B56" s="364"/>
      <c r="C56" s="364"/>
      <c r="D56" s="364"/>
    </row>
    <row r="57" ht="12.75" customHeight="1">
      <c r="A57" s="364"/>
      <c r="B57" s="364"/>
      <c r="C57" s="364"/>
      <c r="D57" s="364"/>
    </row>
    <row r="58" ht="12.75" customHeight="1">
      <c r="A58" s="364"/>
      <c r="B58" s="364"/>
      <c r="C58" s="364"/>
      <c r="D58" s="364"/>
    </row>
    <row r="59" ht="12.75" customHeight="1">
      <c r="A59" s="364"/>
      <c r="B59" s="364"/>
      <c r="C59" s="364"/>
      <c r="D59" s="364"/>
    </row>
    <row r="60" ht="12.75" customHeight="1">
      <c r="A60" s="364"/>
      <c r="B60" s="364"/>
      <c r="C60" s="364"/>
      <c r="D60" s="364"/>
    </row>
    <row r="61" ht="12.75" customHeight="1">
      <c r="A61" s="364"/>
      <c r="B61" s="364"/>
      <c r="C61" s="364"/>
      <c r="D61" s="364"/>
    </row>
    <row r="62" ht="12.75" customHeight="1">
      <c r="A62" s="364"/>
      <c r="B62" s="364"/>
      <c r="C62" s="364"/>
      <c r="D62" s="364"/>
    </row>
    <row r="63" ht="12.75" customHeight="1">
      <c r="A63" s="364"/>
      <c r="B63" s="364"/>
      <c r="C63" s="364"/>
      <c r="D63" s="364"/>
    </row>
    <row r="64" ht="12.75" customHeight="1">
      <c r="A64" s="364"/>
      <c r="B64" s="364"/>
      <c r="C64" s="364"/>
      <c r="D64" s="364"/>
    </row>
    <row r="65" ht="12.75" customHeight="1">
      <c r="A65" s="364"/>
      <c r="B65" s="364"/>
      <c r="C65" s="364"/>
      <c r="D65" s="364"/>
    </row>
    <row r="66" ht="12.75" customHeight="1">
      <c r="A66" s="364"/>
      <c r="B66" s="364"/>
      <c r="C66" s="364"/>
      <c r="D66" s="364"/>
    </row>
    <row r="67" ht="12.75" customHeight="1">
      <c r="A67" s="364"/>
      <c r="B67" s="364"/>
      <c r="C67" s="364"/>
      <c r="D67" s="364"/>
    </row>
    <row r="68" ht="12.75" customHeight="1">
      <c r="A68" s="364"/>
      <c r="B68" s="364"/>
      <c r="C68" s="364"/>
      <c r="D68" s="364"/>
    </row>
    <row r="69" ht="12.75" customHeight="1">
      <c r="A69" s="364"/>
      <c r="B69" s="364"/>
      <c r="C69" s="364"/>
      <c r="D69" s="364"/>
    </row>
    <row r="70" ht="12.75" customHeight="1">
      <c r="A70" s="364"/>
      <c r="B70" s="364"/>
      <c r="C70" s="364"/>
      <c r="D70" s="364"/>
    </row>
    <row r="71" ht="12.75" customHeight="1">
      <c r="A71" s="364"/>
      <c r="B71" s="364"/>
      <c r="C71" s="364"/>
      <c r="D71" s="364"/>
    </row>
    <row r="72" ht="12.75" customHeight="1">
      <c r="A72" s="364"/>
      <c r="B72" s="364"/>
      <c r="C72" s="364"/>
      <c r="D72" s="364"/>
    </row>
    <row r="73" ht="12.75" customHeight="1">
      <c r="A73" s="364"/>
      <c r="B73" s="364"/>
      <c r="C73" s="364"/>
      <c r="D73" s="364"/>
    </row>
    <row r="74" ht="12.75" customHeight="1">
      <c r="A74" s="364"/>
      <c r="B74" s="364"/>
      <c r="C74" s="364"/>
      <c r="D74" s="364"/>
    </row>
    <row r="75" ht="12.75" customHeight="1">
      <c r="A75" s="364"/>
      <c r="B75" s="364"/>
      <c r="C75" s="364"/>
      <c r="D75" s="364"/>
    </row>
    <row r="76" ht="12.75" customHeight="1">
      <c r="A76" s="364"/>
      <c r="B76" s="364"/>
      <c r="C76" s="364"/>
      <c r="D76" s="364"/>
    </row>
    <row r="77" ht="12.75" customHeight="1">
      <c r="A77" s="364"/>
      <c r="B77" s="364"/>
      <c r="C77" s="364"/>
      <c r="D77" s="364"/>
    </row>
    <row r="78" ht="12.75" customHeight="1">
      <c r="A78" s="364"/>
      <c r="B78" s="364"/>
      <c r="C78" s="364"/>
      <c r="D78" s="364"/>
    </row>
    <row r="79" ht="12.75" customHeight="1">
      <c r="A79" s="364"/>
      <c r="B79" s="364"/>
      <c r="C79" s="364"/>
      <c r="D79" s="364"/>
    </row>
    <row r="80" ht="12.75" customHeight="1">
      <c r="A80" s="364"/>
      <c r="B80" s="364"/>
      <c r="C80" s="364"/>
      <c r="D80" s="364"/>
    </row>
    <row r="81" ht="12.75" customHeight="1">
      <c r="A81" s="364"/>
      <c r="B81" s="364"/>
      <c r="C81" s="364"/>
      <c r="D81" s="364"/>
    </row>
    <row r="82" ht="12.75" customHeight="1">
      <c r="A82" s="364"/>
      <c r="B82" s="364"/>
      <c r="C82" s="364"/>
      <c r="D82" s="364"/>
    </row>
    <row r="83" ht="12.75" customHeight="1">
      <c r="A83" s="364"/>
      <c r="B83" s="364"/>
      <c r="C83" s="364"/>
      <c r="D83" s="364"/>
    </row>
    <row r="84" ht="12.75" customHeight="1">
      <c r="A84" s="364"/>
      <c r="B84" s="364"/>
      <c r="C84" s="364"/>
      <c r="D84" s="364"/>
    </row>
    <row r="85" ht="12.75" customHeight="1">
      <c r="A85" s="364"/>
      <c r="B85" s="364"/>
      <c r="C85" s="364"/>
      <c r="D85" s="364"/>
    </row>
    <row r="86" ht="12.75" customHeight="1">
      <c r="A86" s="364"/>
      <c r="B86" s="364"/>
      <c r="C86" s="364"/>
      <c r="D86" s="364"/>
    </row>
    <row r="87" ht="12.75" customHeight="1">
      <c r="A87" s="364"/>
      <c r="B87" s="364"/>
      <c r="C87" s="364"/>
      <c r="D87" s="364"/>
    </row>
    <row r="88" ht="12.75" customHeight="1">
      <c r="A88" s="364"/>
      <c r="B88" s="364"/>
      <c r="C88" s="364"/>
      <c r="D88" s="364"/>
    </row>
    <row r="89" ht="12.75" customHeight="1">
      <c r="A89" s="364"/>
      <c r="B89" s="364"/>
      <c r="C89" s="364"/>
      <c r="D89" s="364"/>
    </row>
    <row r="90" ht="12.75" customHeight="1">
      <c r="A90" s="364"/>
      <c r="B90" s="364"/>
      <c r="C90" s="364"/>
      <c r="D90" s="364"/>
    </row>
    <row r="91" ht="12.75" customHeight="1">
      <c r="A91" s="364"/>
      <c r="B91" s="364"/>
      <c r="C91" s="364"/>
      <c r="D91" s="364"/>
    </row>
    <row r="92" ht="12.75" customHeight="1">
      <c r="A92" s="364"/>
      <c r="B92" s="364"/>
      <c r="C92" s="364"/>
      <c r="D92" s="364"/>
    </row>
    <row r="93" ht="12.75" customHeight="1">
      <c r="A93" s="364"/>
      <c r="B93" s="364"/>
      <c r="C93" s="364"/>
      <c r="D93" s="364"/>
    </row>
    <row r="94" ht="12.75" customHeight="1">
      <c r="A94" s="364"/>
      <c r="B94" s="364"/>
      <c r="C94" s="364"/>
      <c r="D94" s="364"/>
    </row>
    <row r="95" ht="12.75" customHeight="1">
      <c r="A95" s="364"/>
      <c r="B95" s="364"/>
      <c r="C95" s="364"/>
      <c r="D95" s="364"/>
    </row>
    <row r="96" ht="12.75" customHeight="1">
      <c r="A96" s="364"/>
      <c r="B96" s="364"/>
      <c r="C96" s="364"/>
      <c r="D96" s="364"/>
    </row>
    <row r="97" ht="12.75" customHeight="1">
      <c r="A97" s="364"/>
      <c r="B97" s="364"/>
      <c r="C97" s="364"/>
      <c r="D97" s="364"/>
    </row>
    <row r="98" ht="12.75" customHeight="1">
      <c r="A98" s="364"/>
      <c r="B98" s="364"/>
      <c r="C98" s="364"/>
      <c r="D98" s="364"/>
    </row>
    <row r="99" ht="12.75" customHeight="1">
      <c r="A99" s="364"/>
      <c r="B99" s="364"/>
      <c r="C99" s="364"/>
      <c r="D99" s="364"/>
    </row>
    <row r="100" ht="12.75" customHeight="1">
      <c r="A100" s="364"/>
      <c r="B100" s="364"/>
      <c r="C100" s="364"/>
      <c r="D100" s="364"/>
    </row>
    <row r="101" ht="12.75" customHeight="1">
      <c r="A101" s="364"/>
      <c r="B101" s="364"/>
      <c r="C101" s="364"/>
      <c r="D101" s="364"/>
    </row>
    <row r="102" ht="12.75" customHeight="1">
      <c r="A102" s="364"/>
      <c r="B102" s="364"/>
      <c r="C102" s="364"/>
      <c r="D102" s="364"/>
    </row>
    <row r="103" ht="12.75" customHeight="1">
      <c r="A103" s="364"/>
      <c r="B103" s="364"/>
      <c r="C103" s="364"/>
      <c r="D103" s="364"/>
    </row>
    <row r="104" ht="12.75" customHeight="1">
      <c r="A104" s="364"/>
      <c r="B104" s="364"/>
      <c r="C104" s="364"/>
      <c r="D104" s="364"/>
    </row>
    <row r="105" ht="12.75" customHeight="1">
      <c r="A105" s="364"/>
      <c r="B105" s="364"/>
      <c r="C105" s="364"/>
      <c r="D105" s="364"/>
    </row>
    <row r="106" ht="12.75" customHeight="1">
      <c r="A106" s="364"/>
      <c r="B106" s="364"/>
      <c r="C106" s="364"/>
      <c r="D106" s="364"/>
    </row>
    <row r="107" ht="12.75" customHeight="1">
      <c r="A107" s="364"/>
      <c r="B107" s="364"/>
      <c r="C107" s="364"/>
      <c r="D107" s="364"/>
    </row>
    <row r="108" ht="12.75" customHeight="1">
      <c r="A108" s="364"/>
      <c r="B108" s="364"/>
      <c r="C108" s="364"/>
      <c r="D108" s="364"/>
    </row>
    <row r="109" ht="12.75" customHeight="1">
      <c r="A109" s="364"/>
      <c r="B109" s="364"/>
      <c r="C109" s="364"/>
      <c r="D109" s="364"/>
    </row>
    <row r="110" ht="12.75" customHeight="1">
      <c r="A110" s="364"/>
      <c r="B110" s="364"/>
      <c r="C110" s="364"/>
      <c r="D110" s="364"/>
    </row>
    <row r="111" ht="12.75" customHeight="1">
      <c r="A111" s="364"/>
      <c r="B111" s="364"/>
      <c r="C111" s="364"/>
      <c r="D111" s="364"/>
    </row>
    <row r="112" ht="12.75" customHeight="1">
      <c r="A112" s="364"/>
      <c r="B112" s="364"/>
      <c r="C112" s="364"/>
      <c r="D112" s="364"/>
    </row>
    <row r="113" ht="12.75" customHeight="1">
      <c r="A113" s="364"/>
      <c r="B113" s="364"/>
      <c r="C113" s="364"/>
      <c r="D113" s="364"/>
    </row>
    <row r="114" ht="12.75" customHeight="1">
      <c r="A114" s="364"/>
      <c r="B114" s="364"/>
      <c r="C114" s="364"/>
      <c r="D114" s="364"/>
    </row>
    <row r="115" ht="12.75" customHeight="1">
      <c r="A115" s="364"/>
      <c r="B115" s="364"/>
      <c r="C115" s="364"/>
      <c r="D115" s="364"/>
    </row>
    <row r="116" ht="12.75" customHeight="1">
      <c r="A116" s="364"/>
      <c r="B116" s="364"/>
      <c r="C116" s="364"/>
      <c r="D116" s="364"/>
    </row>
    <row r="117" ht="12.75" customHeight="1">
      <c r="A117" s="364"/>
      <c r="B117" s="364"/>
      <c r="C117" s="364"/>
      <c r="D117" s="364"/>
    </row>
    <row r="118" ht="12.75" customHeight="1">
      <c r="A118" s="364"/>
      <c r="B118" s="364"/>
      <c r="C118" s="364"/>
      <c r="D118" s="364"/>
    </row>
    <row r="119" ht="12.75" customHeight="1">
      <c r="A119" s="364"/>
      <c r="B119" s="364"/>
      <c r="C119" s="364"/>
      <c r="D119" s="364"/>
    </row>
    <row r="120" ht="12.75" customHeight="1">
      <c r="A120" s="364"/>
      <c r="B120" s="364"/>
      <c r="C120" s="364"/>
      <c r="D120" s="364"/>
    </row>
    <row r="121" ht="12.75" customHeight="1">
      <c r="A121" s="364"/>
      <c r="B121" s="364"/>
      <c r="C121" s="364"/>
      <c r="D121" s="364"/>
    </row>
    <row r="122" ht="12.75" customHeight="1">
      <c r="A122" s="364"/>
      <c r="B122" s="364"/>
      <c r="C122" s="364"/>
      <c r="D122" s="364"/>
    </row>
    <row r="123" ht="12.75" customHeight="1">
      <c r="A123" s="364"/>
      <c r="B123" s="364"/>
      <c r="C123" s="364"/>
      <c r="D123" s="364"/>
    </row>
    <row r="124" ht="12.75" customHeight="1">
      <c r="A124" s="364"/>
      <c r="B124" s="364"/>
      <c r="C124" s="364"/>
      <c r="D124" s="364"/>
    </row>
    <row r="125" ht="12.75" customHeight="1">
      <c r="A125" s="364"/>
      <c r="B125" s="364"/>
      <c r="C125" s="364"/>
      <c r="D125" s="364"/>
    </row>
    <row r="126" ht="12.75" customHeight="1">
      <c r="A126" s="364"/>
      <c r="B126" s="364"/>
      <c r="C126" s="364"/>
      <c r="D126" s="364"/>
    </row>
    <row r="127" ht="12.75" customHeight="1">
      <c r="A127" s="364"/>
      <c r="B127" s="364"/>
      <c r="C127" s="364"/>
      <c r="D127" s="364"/>
    </row>
    <row r="128" ht="12.75" customHeight="1">
      <c r="A128" s="364"/>
      <c r="B128" s="364"/>
      <c r="C128" s="364"/>
      <c r="D128" s="364"/>
    </row>
    <row r="129" ht="12.75" customHeight="1">
      <c r="A129" s="364"/>
      <c r="B129" s="364"/>
      <c r="C129" s="364"/>
      <c r="D129" s="364"/>
    </row>
    <row r="130" ht="12.75" customHeight="1">
      <c r="A130" s="364"/>
      <c r="B130" s="364"/>
      <c r="C130" s="364"/>
      <c r="D130" s="364"/>
    </row>
    <row r="131" ht="12.75" customHeight="1">
      <c r="A131" s="364"/>
      <c r="B131" s="364"/>
      <c r="C131" s="364"/>
      <c r="D131" s="364"/>
    </row>
    <row r="132" ht="12.75" customHeight="1">
      <c r="A132" s="364"/>
      <c r="B132" s="364"/>
      <c r="C132" s="364"/>
      <c r="D132" s="364"/>
    </row>
    <row r="133" ht="12.75" customHeight="1">
      <c r="A133" s="364"/>
      <c r="B133" s="364"/>
      <c r="C133" s="364"/>
      <c r="D133" s="364"/>
    </row>
    <row r="134" ht="12.75" customHeight="1">
      <c r="A134" s="364"/>
      <c r="B134" s="364"/>
      <c r="C134" s="364"/>
      <c r="D134" s="364"/>
    </row>
    <row r="135" ht="12.75" customHeight="1">
      <c r="A135" s="364"/>
      <c r="B135" s="364"/>
      <c r="C135" s="364"/>
      <c r="D135" s="364"/>
    </row>
    <row r="136" ht="12.75" customHeight="1">
      <c r="A136" s="364"/>
      <c r="B136" s="364"/>
      <c r="C136" s="364"/>
      <c r="D136" s="364"/>
    </row>
    <row r="137" ht="12.75" customHeight="1">
      <c r="A137" s="364"/>
      <c r="B137" s="364"/>
      <c r="C137" s="364"/>
      <c r="D137" s="364"/>
    </row>
    <row r="138" ht="12.75" customHeight="1">
      <c r="A138" s="364"/>
      <c r="B138" s="364"/>
      <c r="C138" s="364"/>
      <c r="D138" s="364"/>
    </row>
    <row r="139" ht="12.75" customHeight="1">
      <c r="A139" s="364"/>
      <c r="B139" s="364"/>
      <c r="C139" s="364"/>
      <c r="D139" s="364"/>
    </row>
    <row r="140" ht="12.75" customHeight="1">
      <c r="A140" s="364"/>
      <c r="B140" s="364"/>
      <c r="C140" s="364"/>
      <c r="D140" s="364"/>
    </row>
    <row r="141" ht="12.75" customHeight="1">
      <c r="A141" s="364"/>
      <c r="B141" s="364"/>
      <c r="C141" s="364"/>
      <c r="D141" s="364"/>
    </row>
    <row r="142" ht="12.75" customHeight="1">
      <c r="A142" s="364"/>
      <c r="B142" s="364"/>
      <c r="C142" s="364"/>
      <c r="D142" s="364"/>
    </row>
    <row r="143" ht="12.75" customHeight="1">
      <c r="A143" s="364"/>
      <c r="B143" s="364"/>
      <c r="C143" s="364"/>
      <c r="D143" s="364"/>
    </row>
    <row r="144" ht="12.75" customHeight="1">
      <c r="A144" s="364"/>
      <c r="B144" s="364"/>
      <c r="C144" s="364"/>
      <c r="D144" s="364"/>
    </row>
    <row r="145" ht="12.75" customHeight="1">
      <c r="A145" s="364"/>
      <c r="B145" s="364"/>
      <c r="C145" s="364"/>
      <c r="D145" s="364"/>
    </row>
    <row r="146" ht="12.75" customHeight="1">
      <c r="A146" s="364"/>
      <c r="B146" s="364"/>
      <c r="C146" s="364"/>
      <c r="D146" s="364"/>
    </row>
    <row r="147" ht="12.75" customHeight="1">
      <c r="A147" s="364"/>
      <c r="B147" s="364"/>
      <c r="C147" s="364"/>
      <c r="D147" s="364"/>
    </row>
    <row r="148" ht="12.75" customHeight="1">
      <c r="A148" s="364"/>
      <c r="B148" s="364"/>
      <c r="C148" s="364"/>
      <c r="D148" s="364"/>
    </row>
    <row r="149" ht="12.75" customHeight="1">
      <c r="A149" s="364"/>
      <c r="B149" s="364"/>
      <c r="C149" s="364"/>
      <c r="D149" s="364"/>
    </row>
    <row r="150" ht="12.75" customHeight="1">
      <c r="A150" s="364"/>
      <c r="B150" s="364"/>
      <c r="C150" s="364"/>
      <c r="D150" s="364"/>
    </row>
    <row r="151" ht="12.75" customHeight="1">
      <c r="A151" s="364"/>
      <c r="B151" s="364"/>
      <c r="C151" s="364"/>
      <c r="D151" s="364"/>
    </row>
    <row r="152" ht="12.75" customHeight="1">
      <c r="A152" s="364"/>
      <c r="B152" s="364"/>
      <c r="C152" s="364"/>
      <c r="D152" s="364"/>
    </row>
    <row r="153" ht="12.75" customHeight="1">
      <c r="A153" s="364"/>
      <c r="B153" s="364"/>
      <c r="C153" s="364"/>
      <c r="D153" s="364"/>
    </row>
    <row r="154" ht="12.75" customHeight="1">
      <c r="A154" s="364"/>
      <c r="B154" s="364"/>
      <c r="C154" s="364"/>
      <c r="D154" s="364"/>
    </row>
    <row r="155" ht="12.75" customHeight="1">
      <c r="A155" s="364"/>
      <c r="B155" s="364"/>
      <c r="C155" s="364"/>
      <c r="D155" s="364"/>
    </row>
    <row r="156" ht="12.75" customHeight="1">
      <c r="A156" s="364"/>
      <c r="B156" s="364"/>
      <c r="C156" s="364"/>
      <c r="D156" s="364"/>
    </row>
    <row r="157" ht="12.75" customHeight="1">
      <c r="A157" s="364"/>
      <c r="B157" s="364"/>
      <c r="C157" s="364"/>
      <c r="D157" s="364"/>
    </row>
    <row r="158" ht="12.75" customHeight="1">
      <c r="A158" s="364"/>
      <c r="B158" s="364"/>
      <c r="C158" s="364"/>
      <c r="D158" s="364"/>
    </row>
    <row r="159" ht="12.75" customHeight="1">
      <c r="A159" s="364"/>
      <c r="B159" s="364"/>
      <c r="C159" s="364"/>
      <c r="D159" s="364"/>
    </row>
    <row r="160" ht="12.75" customHeight="1">
      <c r="A160" s="364"/>
      <c r="B160" s="364"/>
      <c r="C160" s="364"/>
      <c r="D160" s="364"/>
    </row>
    <row r="161" ht="12.75" customHeight="1">
      <c r="A161" s="364"/>
      <c r="B161" s="364"/>
      <c r="C161" s="364"/>
      <c r="D161" s="364"/>
    </row>
    <row r="162" ht="12.75" customHeight="1">
      <c r="A162" s="364"/>
      <c r="B162" s="364"/>
      <c r="C162" s="364"/>
      <c r="D162" s="364"/>
    </row>
    <row r="163" ht="12.75" customHeight="1">
      <c r="A163" s="364"/>
      <c r="B163" s="364"/>
      <c r="C163" s="364"/>
      <c r="D163" s="364"/>
    </row>
    <row r="164" ht="12.75" customHeight="1">
      <c r="A164" s="364"/>
      <c r="B164" s="364"/>
      <c r="C164" s="364"/>
      <c r="D164" s="364"/>
    </row>
    <row r="165" ht="12.75" customHeight="1">
      <c r="A165" s="364"/>
      <c r="B165" s="364"/>
      <c r="C165" s="364"/>
      <c r="D165" s="364"/>
    </row>
    <row r="166" ht="12.75" customHeight="1">
      <c r="A166" s="364"/>
      <c r="B166" s="364"/>
      <c r="C166" s="364"/>
      <c r="D166" s="364"/>
    </row>
    <row r="167" ht="12.75" customHeight="1">
      <c r="A167" s="364"/>
      <c r="B167" s="364"/>
      <c r="C167" s="364"/>
      <c r="D167" s="364"/>
    </row>
    <row r="168" ht="12.75" customHeight="1">
      <c r="A168" s="364"/>
      <c r="B168" s="364"/>
      <c r="C168" s="364"/>
      <c r="D168" s="364"/>
    </row>
    <row r="169" ht="12.75" customHeight="1">
      <c r="A169" s="364"/>
      <c r="B169" s="364"/>
      <c r="C169" s="364"/>
      <c r="D169" s="364"/>
    </row>
    <row r="170" ht="12.75" customHeight="1">
      <c r="A170" s="364"/>
      <c r="B170" s="364"/>
      <c r="C170" s="364"/>
      <c r="D170" s="364"/>
    </row>
    <row r="171" ht="12.75" customHeight="1">
      <c r="A171" s="364"/>
      <c r="B171" s="364"/>
      <c r="C171" s="364"/>
      <c r="D171" s="364"/>
    </row>
    <row r="172" ht="12.75" customHeight="1">
      <c r="A172" s="364"/>
      <c r="B172" s="364"/>
      <c r="C172" s="364"/>
      <c r="D172" s="364"/>
    </row>
    <row r="173" ht="12.75" customHeight="1">
      <c r="A173" s="364"/>
      <c r="B173" s="364"/>
      <c r="C173" s="364"/>
      <c r="D173" s="364"/>
    </row>
    <row r="174" ht="12.75" customHeight="1">
      <c r="A174" s="364"/>
      <c r="B174" s="364"/>
      <c r="C174" s="364"/>
      <c r="D174" s="364"/>
    </row>
    <row r="175" ht="12.75" customHeight="1">
      <c r="A175" s="364"/>
      <c r="B175" s="364"/>
      <c r="C175" s="364"/>
      <c r="D175" s="364"/>
    </row>
    <row r="176" ht="12.75" customHeight="1">
      <c r="A176" s="364"/>
      <c r="B176" s="364"/>
      <c r="C176" s="364"/>
      <c r="D176" s="364"/>
    </row>
    <row r="177" ht="12.75" customHeight="1">
      <c r="A177" s="364"/>
      <c r="B177" s="364"/>
      <c r="C177" s="364"/>
      <c r="D177" s="364"/>
    </row>
    <row r="178" ht="12.75" customHeight="1">
      <c r="A178" s="364"/>
      <c r="B178" s="364"/>
      <c r="C178" s="364"/>
      <c r="D178" s="364"/>
    </row>
    <row r="179" ht="12.75" customHeight="1">
      <c r="A179" s="364"/>
      <c r="B179" s="364"/>
      <c r="C179" s="364"/>
      <c r="D179" s="364"/>
    </row>
    <row r="180" ht="12.75" customHeight="1">
      <c r="A180" s="364"/>
      <c r="B180" s="364"/>
      <c r="C180" s="364"/>
      <c r="D180" s="364"/>
    </row>
    <row r="181" ht="12.75" customHeight="1">
      <c r="A181" s="364"/>
      <c r="B181" s="364"/>
      <c r="C181" s="364"/>
      <c r="D181" s="364"/>
    </row>
    <row r="182" ht="12.75" customHeight="1">
      <c r="A182" s="364"/>
      <c r="B182" s="364"/>
      <c r="C182" s="364"/>
      <c r="D182" s="364"/>
    </row>
    <row r="183" ht="12.75" customHeight="1">
      <c r="A183" s="364"/>
      <c r="B183" s="364"/>
      <c r="C183" s="364"/>
      <c r="D183" s="364"/>
    </row>
    <row r="184" ht="12.75" customHeight="1">
      <c r="A184" s="364"/>
      <c r="B184" s="364"/>
      <c r="C184" s="364"/>
      <c r="D184" s="364"/>
    </row>
    <row r="185" ht="12.75" customHeight="1">
      <c r="A185" s="364"/>
      <c r="B185" s="364"/>
      <c r="C185" s="364"/>
      <c r="D185" s="364"/>
    </row>
    <row r="186" ht="12.75" customHeight="1">
      <c r="A186" s="364"/>
      <c r="B186" s="364"/>
      <c r="C186" s="364"/>
      <c r="D186" s="364"/>
    </row>
    <row r="187" ht="12.75" customHeight="1">
      <c r="A187" s="364"/>
      <c r="B187" s="364"/>
      <c r="C187" s="364"/>
      <c r="D187" s="364"/>
    </row>
    <row r="188" ht="12.75" customHeight="1">
      <c r="A188" s="364"/>
      <c r="B188" s="364"/>
      <c r="C188" s="364"/>
      <c r="D188" s="364"/>
    </row>
    <row r="189" ht="12.75" customHeight="1">
      <c r="A189" s="364"/>
      <c r="B189" s="364"/>
      <c r="C189" s="364"/>
      <c r="D189" s="364"/>
    </row>
    <row r="190" ht="12.75" customHeight="1">
      <c r="A190" s="364"/>
      <c r="B190" s="364"/>
      <c r="C190" s="364"/>
      <c r="D190" s="364"/>
    </row>
    <row r="191" ht="12.75" customHeight="1">
      <c r="A191" s="364"/>
      <c r="B191" s="364"/>
      <c r="C191" s="364"/>
      <c r="D191" s="364"/>
    </row>
    <row r="192" ht="12.75" customHeight="1">
      <c r="A192" s="364"/>
      <c r="B192" s="364"/>
      <c r="C192" s="364"/>
      <c r="D192" s="364"/>
    </row>
    <row r="193" ht="12.75" customHeight="1">
      <c r="A193" s="364"/>
      <c r="B193" s="364"/>
      <c r="C193" s="364"/>
      <c r="D193" s="364"/>
    </row>
    <row r="194" ht="12.75" customHeight="1">
      <c r="A194" s="364"/>
      <c r="B194" s="364"/>
      <c r="C194" s="364"/>
      <c r="D194" s="364"/>
    </row>
    <row r="195" ht="12.75" customHeight="1">
      <c r="A195" s="364"/>
      <c r="B195" s="364"/>
      <c r="C195" s="364"/>
      <c r="D195" s="364"/>
    </row>
    <row r="196" ht="12.75" customHeight="1">
      <c r="A196" s="364"/>
      <c r="B196" s="364"/>
      <c r="C196" s="364"/>
      <c r="D196" s="364"/>
    </row>
    <row r="197" ht="12.75" customHeight="1">
      <c r="A197" s="364"/>
      <c r="B197" s="364"/>
      <c r="C197" s="364"/>
      <c r="D197" s="364"/>
    </row>
    <row r="198" ht="12.75" customHeight="1">
      <c r="A198" s="364"/>
      <c r="B198" s="364"/>
      <c r="C198" s="364"/>
      <c r="D198" s="364"/>
    </row>
    <row r="199" ht="12.75" customHeight="1">
      <c r="A199" s="364"/>
      <c r="B199" s="364"/>
      <c r="C199" s="364"/>
      <c r="D199" s="364"/>
    </row>
    <row r="200" ht="12.75" customHeight="1">
      <c r="A200" s="364"/>
      <c r="B200" s="364"/>
      <c r="C200" s="364"/>
      <c r="D200" s="364"/>
    </row>
    <row r="201" ht="12.75" customHeight="1">
      <c r="A201" s="364"/>
      <c r="B201" s="364"/>
      <c r="C201" s="364"/>
      <c r="D201" s="364"/>
    </row>
    <row r="202" ht="12.75" customHeight="1">
      <c r="A202" s="364"/>
      <c r="B202" s="364"/>
      <c r="C202" s="364"/>
      <c r="D202" s="364"/>
    </row>
    <row r="203" ht="12.75" customHeight="1">
      <c r="A203" s="364"/>
      <c r="B203" s="364"/>
      <c r="C203" s="364"/>
      <c r="D203" s="364"/>
    </row>
    <row r="204" ht="12.75" customHeight="1">
      <c r="A204" s="364"/>
      <c r="B204" s="364"/>
      <c r="C204" s="364"/>
      <c r="D204" s="364"/>
    </row>
    <row r="205" ht="12.75" customHeight="1">
      <c r="A205" s="364"/>
      <c r="B205" s="364"/>
      <c r="C205" s="364"/>
      <c r="D205" s="364"/>
    </row>
    <row r="206" ht="12.75" customHeight="1">
      <c r="A206" s="364"/>
      <c r="B206" s="364"/>
      <c r="C206" s="364"/>
      <c r="D206" s="364"/>
    </row>
    <row r="207" ht="12.75" customHeight="1">
      <c r="A207" s="364"/>
      <c r="B207" s="364"/>
      <c r="C207" s="364"/>
      <c r="D207" s="364"/>
    </row>
    <row r="208" ht="12.75" customHeight="1">
      <c r="A208" s="364"/>
      <c r="B208" s="364"/>
      <c r="C208" s="364"/>
      <c r="D208" s="364"/>
    </row>
    <row r="209" ht="12.75" customHeight="1">
      <c r="A209" s="364"/>
      <c r="B209" s="364"/>
      <c r="C209" s="364"/>
      <c r="D209" s="364"/>
    </row>
    <row r="210" ht="12.75" customHeight="1">
      <c r="A210" s="364"/>
      <c r="B210" s="364"/>
      <c r="C210" s="364"/>
      <c r="D210" s="364"/>
    </row>
    <row r="211" ht="12.75" customHeight="1">
      <c r="A211" s="364"/>
      <c r="B211" s="364"/>
      <c r="C211" s="364"/>
      <c r="D211" s="364"/>
    </row>
    <row r="212" ht="12.75" customHeight="1">
      <c r="A212" s="364"/>
      <c r="B212" s="364"/>
      <c r="C212" s="364"/>
      <c r="D212" s="364"/>
    </row>
    <row r="213" ht="12.75" customHeight="1">
      <c r="A213" s="364"/>
      <c r="B213" s="364"/>
      <c r="C213" s="364"/>
      <c r="D213" s="364"/>
    </row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